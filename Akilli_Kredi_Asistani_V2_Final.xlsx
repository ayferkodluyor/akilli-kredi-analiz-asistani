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ayf\OneDrive\Masaüstü\"/>
    </mc:Choice>
  </mc:AlternateContent>
  <xr:revisionPtr revIDLastSave="0" documentId="8_{EE958D9B-CBB4-420F-AB72-F03E7F63C3ED}" xr6:coauthVersionLast="47" xr6:coauthVersionMax="47" xr10:uidLastSave="{00000000-0000-0000-0000-000000000000}"/>
  <bookViews>
    <workbookView xWindow="5760" yWindow="2865" windowWidth="22365" windowHeight="12270" xr2:uid="{00000000-000D-0000-FFFF-FFFF00000000}"/>
  </bookViews>
  <sheets>
    <sheet name="Musteri_Verisi" sheetId="1" r:id="rId1"/>
    <sheet name="Kurallar" sheetId="2" r:id="rId2"/>
    <sheet name="Proje_Plani" sheetId="3" r:id="rId3"/>
    <sheet name="Analiz_Ekrani" sheetId="4" r:id="rId4"/>
    <sheet name="Donemsel_Veriler" sheetId="5" r:id="rId5"/>
    <sheet name="Erken_Uyari_Kurallari" sheetId="6" r:id="rId6"/>
  </sheets>
  <calcPr calcId="181029"/>
</workbook>
</file>

<file path=xl/calcChain.xml><?xml version="1.0" encoding="utf-8"?>
<calcChain xmlns="http://schemas.openxmlformats.org/spreadsheetml/2006/main">
  <c r="C13" i="4" l="1"/>
  <c r="C12" i="4"/>
  <c r="C11" i="4"/>
  <c r="C10" i="4"/>
  <c r="C7" i="4"/>
  <c r="C6" i="4"/>
  <c r="R31" i="1"/>
  <c r="Q31" i="1"/>
  <c r="P31" i="1"/>
  <c r="O31" i="1"/>
  <c r="S31" i="1" s="1"/>
  <c r="T31" i="1" s="1"/>
  <c r="R30" i="1"/>
  <c r="Q30" i="1"/>
  <c r="P30" i="1"/>
  <c r="S30" i="1" s="1"/>
  <c r="T30" i="1" s="1"/>
  <c r="O30" i="1"/>
  <c r="R29" i="1"/>
  <c r="S29" i="1" s="1"/>
  <c r="T29" i="1" s="1"/>
  <c r="Q29" i="1"/>
  <c r="P29" i="1"/>
  <c r="O29" i="1"/>
  <c r="R28" i="1"/>
  <c r="Q28" i="1"/>
  <c r="P28" i="1"/>
  <c r="O28" i="1"/>
  <c r="S28" i="1" s="1"/>
  <c r="T28" i="1" s="1"/>
  <c r="R27" i="1"/>
  <c r="Q27" i="1"/>
  <c r="P27" i="1"/>
  <c r="O27" i="1"/>
  <c r="S27" i="1" s="1"/>
  <c r="T27" i="1" s="1"/>
  <c r="R26" i="1"/>
  <c r="Q26" i="1"/>
  <c r="P26" i="1"/>
  <c r="S26" i="1" s="1"/>
  <c r="T26" i="1" s="1"/>
  <c r="O26" i="1"/>
  <c r="R25" i="1"/>
  <c r="Q25" i="1"/>
  <c r="P25" i="1"/>
  <c r="S25" i="1" s="1"/>
  <c r="T25" i="1" s="1"/>
  <c r="O25" i="1"/>
  <c r="R24" i="1"/>
  <c r="Q24" i="1"/>
  <c r="P24" i="1"/>
  <c r="O24" i="1"/>
  <c r="S24" i="1" s="1"/>
  <c r="T24" i="1" s="1"/>
  <c r="R23" i="1"/>
  <c r="Q23" i="1"/>
  <c r="P23" i="1"/>
  <c r="O23" i="1"/>
  <c r="S23" i="1" s="1"/>
  <c r="T23" i="1" s="1"/>
  <c r="R22" i="1"/>
  <c r="Q22" i="1"/>
  <c r="P22" i="1"/>
  <c r="S22" i="1" s="1"/>
  <c r="T22" i="1" s="1"/>
  <c r="O22" i="1"/>
  <c r="R21" i="1"/>
  <c r="Q21" i="1"/>
  <c r="P21" i="1"/>
  <c r="S21" i="1" s="1"/>
  <c r="T21" i="1" s="1"/>
  <c r="O21" i="1"/>
  <c r="R20" i="1"/>
  <c r="Q20" i="1"/>
  <c r="P20" i="1"/>
  <c r="O20" i="1"/>
  <c r="S20" i="1" s="1"/>
  <c r="T20" i="1" s="1"/>
  <c r="R19" i="1"/>
  <c r="Q19" i="1"/>
  <c r="P19" i="1"/>
  <c r="O19" i="1"/>
  <c r="S19" i="1" s="1"/>
  <c r="T19" i="1" s="1"/>
  <c r="R18" i="1"/>
  <c r="Q18" i="1"/>
  <c r="P18" i="1"/>
  <c r="S18" i="1" s="1"/>
  <c r="T18" i="1" s="1"/>
  <c r="O18" i="1"/>
  <c r="R17" i="1"/>
  <c r="Q17" i="1"/>
  <c r="P17" i="1"/>
  <c r="S17" i="1" s="1"/>
  <c r="T17" i="1" s="1"/>
  <c r="O17" i="1"/>
  <c r="R16" i="1"/>
  <c r="Q16" i="1"/>
  <c r="P16" i="1"/>
  <c r="O16" i="1"/>
  <c r="S16" i="1" s="1"/>
  <c r="T16" i="1" s="1"/>
  <c r="R15" i="1"/>
  <c r="Q15" i="1"/>
  <c r="P15" i="1"/>
  <c r="O15" i="1"/>
  <c r="S15" i="1" s="1"/>
  <c r="T15" i="1" s="1"/>
  <c r="R14" i="1"/>
  <c r="Q14" i="1"/>
  <c r="P14" i="1"/>
  <c r="S14" i="1" s="1"/>
  <c r="T14" i="1" s="1"/>
  <c r="O14" i="1"/>
  <c r="R13" i="1"/>
  <c r="Q13" i="1"/>
  <c r="P13" i="1"/>
  <c r="S13" i="1" s="1"/>
  <c r="T13" i="1" s="1"/>
  <c r="O13" i="1"/>
  <c r="R12" i="1"/>
  <c r="Q12" i="1"/>
  <c r="P12" i="1"/>
  <c r="O12" i="1"/>
  <c r="S12" i="1" s="1"/>
  <c r="T12" i="1" s="1"/>
  <c r="R11" i="1"/>
  <c r="Q11" i="1"/>
  <c r="P11" i="1"/>
  <c r="O11" i="1"/>
  <c r="S11" i="1" s="1"/>
  <c r="T11" i="1" s="1"/>
  <c r="R10" i="1"/>
  <c r="Q10" i="1"/>
  <c r="P10" i="1"/>
  <c r="S10" i="1" s="1"/>
  <c r="T10" i="1" s="1"/>
  <c r="O10" i="1"/>
  <c r="R9" i="1"/>
  <c r="Q9" i="1"/>
  <c r="P9" i="1"/>
  <c r="S9" i="1" s="1"/>
  <c r="T9" i="1" s="1"/>
  <c r="O9" i="1"/>
  <c r="R8" i="1"/>
  <c r="Q8" i="1"/>
  <c r="P8" i="1"/>
  <c r="O8" i="1"/>
  <c r="S8" i="1" s="1"/>
  <c r="T8" i="1" s="1"/>
  <c r="R7" i="1"/>
  <c r="Q7" i="1"/>
  <c r="P7" i="1"/>
  <c r="O7" i="1"/>
  <c r="S7" i="1" s="1"/>
  <c r="T7" i="1" s="1"/>
  <c r="R6" i="1"/>
  <c r="Q6" i="1"/>
  <c r="P6" i="1"/>
  <c r="S6" i="1" s="1"/>
  <c r="T6" i="1" s="1"/>
  <c r="O6" i="1"/>
  <c r="R5" i="1"/>
  <c r="Q5" i="1"/>
  <c r="P5" i="1"/>
  <c r="S5" i="1" s="1"/>
  <c r="T5" i="1" s="1"/>
  <c r="O5" i="1"/>
  <c r="R4" i="1"/>
  <c r="Q4" i="1"/>
  <c r="P4" i="1"/>
  <c r="O4" i="1"/>
  <c r="S4" i="1" s="1"/>
  <c r="T4" i="1" s="1"/>
  <c r="R3" i="1"/>
  <c r="Q3" i="1"/>
  <c r="P3" i="1"/>
  <c r="O3" i="1"/>
  <c r="S3" i="1" s="1"/>
  <c r="T3" i="1" s="1"/>
  <c r="R2" i="1"/>
  <c r="C14" i="4" s="1"/>
  <c r="Q2" i="1"/>
  <c r="P2" i="1"/>
  <c r="C9" i="4" s="1"/>
  <c r="O2" i="1"/>
  <c r="C8" i="4" s="1"/>
  <c r="F5" i="4" s="1"/>
  <c r="S2" i="1" l="1"/>
  <c r="C15" i="4" l="1"/>
  <c r="T2" i="1"/>
  <c r="C16" i="4" s="1"/>
  <c r="F17" i="4" s="1"/>
</calcChain>
</file>

<file path=xl/sharedStrings.xml><?xml version="1.0" encoding="utf-8"?>
<sst xmlns="http://schemas.openxmlformats.org/spreadsheetml/2006/main" count="493" uniqueCount="199">
  <si>
    <t>Musteri_ID</t>
  </si>
  <si>
    <t>Firma_Adi</t>
  </si>
  <si>
    <t>Sektor</t>
  </si>
  <si>
    <t>Firma_Yasi</t>
  </si>
  <si>
    <t>Onceki_Yil_Satis_TL</t>
  </si>
  <si>
    <t>Guncel_Satis_TL</t>
  </si>
  <si>
    <t>Onceki_Toplam_Borc_TL</t>
  </si>
  <si>
    <t>Guncel_Toplam_Borc_TL</t>
  </si>
  <si>
    <t>Kredi_Limiti_TL</t>
  </si>
  <si>
    <t>Kullanilan_Limit_TL</t>
  </si>
  <si>
    <t>Son_3_Ay_Gecikme_Adedi</t>
  </si>
  <si>
    <t>Maks_Gecikme_Gunu</t>
  </si>
  <si>
    <t>Teminat_Durumu</t>
  </si>
  <si>
    <t>Finansal_Veri_Tarihi</t>
  </si>
  <si>
    <t>Satis_Degisim_%</t>
  </si>
  <si>
    <t>Borc_Degisim_%</t>
  </si>
  <si>
    <t>Limit_Kullanim_%</t>
  </si>
  <si>
    <t>Finansal_Veri_Yasi_Gun</t>
  </si>
  <si>
    <t>Uyari_Puani</t>
  </si>
  <si>
    <t>On_Degerlendirme</t>
  </si>
  <si>
    <t>M001</t>
  </si>
  <si>
    <t>Örnek Firma 01</t>
  </si>
  <si>
    <t>Tekstil</t>
  </si>
  <si>
    <t>Yeterli</t>
  </si>
  <si>
    <t>M002</t>
  </si>
  <si>
    <t>Örnek Firma 02</t>
  </si>
  <si>
    <t>Lojistik</t>
  </si>
  <si>
    <t>M003</t>
  </si>
  <si>
    <t>Örnek Firma 03</t>
  </si>
  <si>
    <t>Gıda</t>
  </si>
  <si>
    <t>Kısmen Yeterli</t>
  </si>
  <si>
    <t>M004</t>
  </si>
  <si>
    <t>Örnek Firma 04</t>
  </si>
  <si>
    <t>Perakende</t>
  </si>
  <si>
    <t>M005</t>
  </si>
  <si>
    <t>Örnek Firma 05</t>
  </si>
  <si>
    <t>Makine</t>
  </si>
  <si>
    <t>M006</t>
  </si>
  <si>
    <t>Örnek Firma 06</t>
  </si>
  <si>
    <t>Yetersiz</t>
  </si>
  <si>
    <t>M007</t>
  </si>
  <si>
    <t>Örnek Firma 07</t>
  </si>
  <si>
    <t>M008</t>
  </si>
  <si>
    <t>Örnek Firma 08</t>
  </si>
  <si>
    <t>M009</t>
  </si>
  <si>
    <t>Örnek Firma 09</t>
  </si>
  <si>
    <t>M010</t>
  </si>
  <si>
    <t>Örnek Firma 10</t>
  </si>
  <si>
    <t>M011</t>
  </si>
  <si>
    <t>Örnek Firma 11</t>
  </si>
  <si>
    <t>M012</t>
  </si>
  <si>
    <t>Örnek Firma 12</t>
  </si>
  <si>
    <t>İnşaat</t>
  </si>
  <si>
    <t>M013</t>
  </si>
  <si>
    <t>Örnek Firma 13</t>
  </si>
  <si>
    <t>M014</t>
  </si>
  <si>
    <t>Örnek Firma 14</t>
  </si>
  <si>
    <t>M015</t>
  </si>
  <si>
    <t>Örnek Firma 15</t>
  </si>
  <si>
    <t>M016</t>
  </si>
  <si>
    <t>Örnek Firma 16</t>
  </si>
  <si>
    <t>M017</t>
  </si>
  <si>
    <t>Örnek Firma 17</t>
  </si>
  <si>
    <t>Otomotiv</t>
  </si>
  <si>
    <t>M018</t>
  </si>
  <si>
    <t>Örnek Firma 18</t>
  </si>
  <si>
    <t>Kimya</t>
  </si>
  <si>
    <t>M019</t>
  </si>
  <si>
    <t>Örnek Firma 19</t>
  </si>
  <si>
    <t>M020</t>
  </si>
  <si>
    <t>Örnek Firma 20</t>
  </si>
  <si>
    <t>M021</t>
  </si>
  <si>
    <t>Örnek Firma 21</t>
  </si>
  <si>
    <t>M022</t>
  </si>
  <si>
    <t>Örnek Firma 22</t>
  </si>
  <si>
    <t>M023</t>
  </si>
  <si>
    <t>Örnek Firma 23</t>
  </si>
  <si>
    <t>M024</t>
  </si>
  <si>
    <t>Örnek Firma 24</t>
  </si>
  <si>
    <t>M025</t>
  </si>
  <si>
    <t>Örnek Firma 25</t>
  </si>
  <si>
    <t>M026</t>
  </si>
  <si>
    <t>Örnek Firma 26</t>
  </si>
  <si>
    <t>M027</t>
  </si>
  <si>
    <t>Örnek Firma 27</t>
  </si>
  <si>
    <t>M028</t>
  </si>
  <si>
    <t>Örnek Firma 28</t>
  </si>
  <si>
    <t>M029</t>
  </si>
  <si>
    <t>Örnek Firma 29</t>
  </si>
  <si>
    <t>M030</t>
  </si>
  <si>
    <t>Örnek Firma 30</t>
  </si>
  <si>
    <t>Kontrol</t>
  </si>
  <si>
    <t>Eşik / Koşul</t>
  </si>
  <si>
    <t>Neden Bakıyoruz?</t>
  </si>
  <si>
    <t>Uyarı Puanı</t>
  </si>
  <si>
    <t>Satış değişimi</t>
  </si>
  <si>
    <t>%15 veya daha fazla düşüş</t>
  </si>
  <si>
    <t>Faaliyet hacminde belirgin gerileme sinyali</t>
  </si>
  <si>
    <t>Borç değişimi</t>
  </si>
  <si>
    <t>%20 veya daha fazla artış</t>
  </si>
  <si>
    <t>Borçlulukta hızlı artış sinyali</t>
  </si>
  <si>
    <t>Limit kullanım oranı</t>
  </si>
  <si>
    <t>%85 veya üzeri</t>
  </si>
  <si>
    <t>Mevcut limite yüksek bağımlılık sinyali</t>
  </si>
  <si>
    <t>Son 3 ay gecikme</t>
  </si>
  <si>
    <t>En az 1 gecikme</t>
  </si>
  <si>
    <t>Ödeme davranışında bozulma işareti</t>
  </si>
  <si>
    <t>Maksimum gecikme</t>
  </si>
  <si>
    <t>15 gün veya üzeri</t>
  </si>
  <si>
    <t>Gecikmenin önem düzeyini gösterir</t>
  </si>
  <si>
    <t>Teminat durumu</t>
  </si>
  <si>
    <t>Yeterli dışında</t>
  </si>
  <si>
    <t>Ek inceleme gerektirebilir</t>
  </si>
  <si>
    <t>Finansal veri yaşı</t>
  </si>
  <si>
    <t>180 günden eski</t>
  </si>
  <si>
    <t>Güncel olmayan veriyle değerlendirme riski</t>
  </si>
  <si>
    <t>Toplam puan</t>
  </si>
  <si>
    <t>0–2</t>
  </si>
  <si>
    <t>Normal İzleme</t>
  </si>
  <si>
    <t>3–4</t>
  </si>
  <si>
    <t>İncelenmeli</t>
  </si>
  <si>
    <t>5–7</t>
  </si>
  <si>
    <t>Yüksek Dikkat</t>
  </si>
  <si>
    <t>AKILLI KREDİ ANALİZ ASİSTANI — V1</t>
  </si>
  <si>
    <t>Amaç</t>
  </si>
  <si>
    <t>Bir ticari müşteride dikkat edilmesi gereken sinyalleri toparlayıp analistin incelemesini kolaylaştırmak.</t>
  </si>
  <si>
    <t>Önemli sınır</t>
  </si>
  <si>
    <t>Sistem kredi kararı vermez. Yalnızca inceleme için sinyal ve özet üretir.</t>
  </si>
  <si>
    <t>Veri</t>
  </si>
  <si>
    <t>Tamamen sentetik (hayali) firma verisi. Gerçek banka/müşteri verisi kullanılmaz.</t>
  </si>
  <si>
    <t>Aşama</t>
  </si>
  <si>
    <t>Ne yapacağız?</t>
  </si>
  <si>
    <t>1</t>
  </si>
  <si>
    <t>Sentetik müşteri veri setini oluştur — TAMAMLANDI</t>
  </si>
  <si>
    <t>2</t>
  </si>
  <si>
    <t>Satış, borç ve limit kullanım oranlarını hesapla — TAMAMLANDI</t>
  </si>
  <si>
    <t>3</t>
  </si>
  <si>
    <t>Basit iş kurallarıyla uyarı puanı üret — TAMAMLANDI</t>
  </si>
  <si>
    <t>4</t>
  </si>
  <si>
    <t>Her müşteri için anlaşılır 'Dikkat Edilecek Noktalar' metni üret</t>
  </si>
  <si>
    <t>5</t>
  </si>
  <si>
    <t>Veriyi SQL'e taşı ve müşteri sorguları yaz</t>
  </si>
  <si>
    <t>6</t>
  </si>
  <si>
    <t>Python ile otomatik analiz fonksiyonu oluştur</t>
  </si>
  <si>
    <t>7</t>
  </si>
  <si>
    <t>Yapay zekâ ile kısa analist özeti üret</t>
  </si>
  <si>
    <t>8</t>
  </si>
  <si>
    <t>Basit web ekranı / Power BI görünümü hazırla</t>
  </si>
  <si>
    <t>9</t>
  </si>
  <si>
    <t>GitHub + YouTube + LinkedIn için proje sunumunu hazırla</t>
  </si>
  <si>
    <t>V2 - Erken Uyarı Sistemi</t>
  </si>
  <si>
    <t>Dönemsel veri</t>
  </si>
  <si>
    <t>4 dönemlik sentetik satış, borç, limit ve gecikme geçmişi eklendi.</t>
  </si>
  <si>
    <t>Trend analizi</t>
  </si>
  <si>
    <t>Eşik aşılmadan önce bozulma eğilimlerini işaretleyecek kurallar eklendi.</t>
  </si>
  <si>
    <t>Video örneği</t>
  </si>
  <si>
    <t>M029: mevcut kurallarda normal, trend analizinde erken uyarı gösterecek demo firma.</t>
  </si>
  <si>
    <t>AKILLI KREDİ ANALİZ ASİSTANI</t>
  </si>
  <si>
    <t>Müşteri Seç</t>
  </si>
  <si>
    <t>Dikkat Edilecek Noktalar</t>
  </si>
  <si>
    <t>Firma</t>
  </si>
  <si>
    <t>Sektör</t>
  </si>
  <si>
    <t>Satış Değişimi</t>
  </si>
  <si>
    <t>Borç Değişimi</t>
  </si>
  <si>
    <t>Limit Kullanımı</t>
  </si>
  <si>
    <t>Gecikme Adedi</t>
  </si>
  <si>
    <t>Maks. Gecikme Günü</t>
  </si>
  <si>
    <t>Teminat Durumu</t>
  </si>
  <si>
    <t>Finansal Veri Yaşı</t>
  </si>
  <si>
    <t>Ön Değerlendirme</t>
  </si>
  <si>
    <t>Not: Bu ekran yalnızca örnek/sentetik verilerle hazırlanmıştır. Sistem kredi kararı vermez; analistin incelemesini desteklemek için dikkat edilmesi gereken sinyalleri özetler.</t>
  </si>
  <si>
    <t>Donem</t>
  </si>
  <si>
    <t>Satis_TL</t>
  </si>
  <si>
    <t>Toplam_Borc_TL</t>
  </si>
  <si>
    <t>Gecikme_Adedi</t>
  </si>
  <si>
    <t>2025 Q4</t>
  </si>
  <si>
    <t>2026 Q1</t>
  </si>
  <si>
    <t>2026 Q2</t>
  </si>
  <si>
    <t>2026 Q3</t>
  </si>
  <si>
    <t>Kural</t>
  </si>
  <si>
    <t>Ne zaman sinyal üretir?</t>
  </si>
  <si>
    <t>Satış trendi</t>
  </si>
  <si>
    <t>Son 4 dönemde satışlar her dönemde düşüyor ve ilk-son dönem toplam düşüşü en az %10 ise</t>
  </si>
  <si>
    <t>Sürekli gelir daralmasını erken fark etmek</t>
  </si>
  <si>
    <t>Borç trendi</t>
  </si>
  <si>
    <t>Son 4 dönemde borç her dönemde artıyor ve ilk-son dönem toplam artışı en az %15 ise</t>
  </si>
  <si>
    <t>Borçluluk baskısındaki yükselişi görmek</t>
  </si>
  <si>
    <t>Limit kullanım trendi</t>
  </si>
  <si>
    <t>Son 4 dönemde limit kullanımı düzenli artıyor ve toplam artış en az 15 yüzde puanı ise</t>
  </si>
  <si>
    <t>Limit dolmadan önce yükselen kullanım baskısını görmek</t>
  </si>
  <si>
    <t>Gecikme trendi</t>
  </si>
  <si>
    <t>Gecikme adedi son dönemde ilk döneme göre artmışsa veya maksimum gecikme belirgin şekilde yükselmişse</t>
  </si>
  <si>
    <t>Ödeme davranışındaki bozulmayı izlemek</t>
  </si>
  <si>
    <t>Birleşik bozulma</t>
  </si>
  <si>
    <t>Satış düşerken aynı anda borç ve limit kullanımı yükseliyorsa</t>
  </si>
  <si>
    <t>Tek tek kritik görünmeyen sinyalleri birlikte değerlendirmek</t>
  </si>
  <si>
    <t>Trend durumu</t>
  </si>
  <si>
    <t>0 sinyal: Stabil | 1-2 sinyal: İzlenmeli | 3+ sinyal: Erken Uyarı</t>
  </si>
  <si>
    <t>Kullanıcıya kısa ve anlaşılır bir erken uyarı özeti vermek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</si>
</sst>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₺&quot;"/>
    <numFmt numFmtId="165" formatCode="dd\.mm\.yyyy"/>
    <numFmt numFmtId="166" formatCode="0.0%"/>
    <numFmt numFmtId="167" formatCode="0\ &quot;gün&quot;"/>
  </numFmts>
  <fonts count="8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4"/>
      <name val="Carlito"/>
    </font>
    <font>
      <i/>
      <sz val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FFF9E6"/>
      </patternFill>
    </fill>
    <fill>
      <patternFill patternType="solid">
        <fgColor rgb="FFE2F0D9"/>
      </patternFill>
    </fill>
    <fill>
      <patternFill patternType="solid">
        <fgColor rgb="FF0F274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5" fillId="5" borderId="0" xfId="0" applyFont="1" applyFill="1" applyAlignment="1">
      <alignment horizontal="center"/>
    </xf>
    <xf numFmtId="166" fontId="0" fillId="0" borderId="0" xfId="0" applyNumberFormat="1"/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/>
    <xf numFmtId="3" fontId="0" fillId="0" borderId="7" xfId="0" applyNumberFormat="1" applyBorder="1"/>
    <xf numFmtId="166" fontId="0" fillId="0" borderId="7" xfId="0" applyNumberFormat="1" applyBorder="1"/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9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6" borderId="0" xfId="0" applyFont="1" applyFill="1"/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1" fillId="3" borderId="0" xfId="0" applyFont="1" applyFill="1" applyAlignment="1">
      <alignment horizontal="center"/>
    </xf>
    <xf numFmtId="0" fontId="0" fillId="7" borderId="0" xfId="0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A61B1B"/>
      </font>
      <fill>
        <patternFill>
          <bgColor rgb="FFFDECEC"/>
        </patternFill>
      </fill>
    </dxf>
    <dxf>
      <fill>
        <patternFill>
          <bgColor rgb="FFFFF2CC"/>
        </patternFill>
      </fill>
    </dxf>
    <dxf>
      <fill>
        <patternFill>
          <bgColor rgb="FFFDE9D9"/>
        </patternFill>
      </fill>
    </dxf>
    <dxf>
      <fill>
        <patternFill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usteriTablosu" displayName="MusteriTablosu" ref="A1:T31" totalsRowShown="0">
  <tableColumns count="20">
    <tableColumn id="1" xr3:uid="{00000000-0010-0000-0000-000001000000}" name="Musteri_ID"/>
    <tableColumn id="2" xr3:uid="{00000000-0010-0000-0000-000002000000}" name="Firma_Adi"/>
    <tableColumn id="3" xr3:uid="{00000000-0010-0000-0000-000003000000}" name="Sektor"/>
    <tableColumn id="4" xr3:uid="{00000000-0010-0000-0000-000004000000}" name="Firma_Yasi"/>
    <tableColumn id="5" xr3:uid="{00000000-0010-0000-0000-000005000000}" name="Onceki_Yil_Satis_TL"/>
    <tableColumn id="6" xr3:uid="{00000000-0010-0000-0000-000006000000}" name="Guncel_Satis_TL"/>
    <tableColumn id="7" xr3:uid="{00000000-0010-0000-0000-000007000000}" name="Onceki_Toplam_Borc_TL"/>
    <tableColumn id="8" xr3:uid="{00000000-0010-0000-0000-000008000000}" name="Guncel_Toplam_Borc_TL"/>
    <tableColumn id="9" xr3:uid="{00000000-0010-0000-0000-000009000000}" name="Kredi_Limiti_TL"/>
    <tableColumn id="10" xr3:uid="{00000000-0010-0000-0000-00000A000000}" name="Kullanilan_Limit_TL"/>
    <tableColumn id="11" xr3:uid="{00000000-0010-0000-0000-00000B000000}" name="Son_3_Ay_Gecikme_Adedi"/>
    <tableColumn id="12" xr3:uid="{00000000-0010-0000-0000-00000C000000}" name="Maks_Gecikme_Gunu"/>
    <tableColumn id="13" xr3:uid="{00000000-0010-0000-0000-00000D000000}" name="Teminat_Durumu"/>
    <tableColumn id="14" xr3:uid="{00000000-0010-0000-0000-00000E000000}" name="Finansal_Veri_Tarihi"/>
    <tableColumn id="15" xr3:uid="{00000000-0010-0000-0000-00000F000000}" name="Satis_Degisim_%"/>
    <tableColumn id="16" xr3:uid="{00000000-0010-0000-0000-000010000000}" name="Borc_Degisim_%"/>
    <tableColumn id="17" xr3:uid="{00000000-0010-0000-0000-000011000000}" name="Limit_Kullanim_%"/>
    <tableColumn id="18" xr3:uid="{00000000-0010-0000-0000-000012000000}" name="Finansal_Veri_Yasi_Gun"/>
    <tableColumn id="19" xr3:uid="{00000000-0010-0000-0000-000013000000}" name="Uyari_Puani"/>
    <tableColumn id="20" xr3:uid="{00000000-0010-0000-0000-000014000000}" name="On_Degerlendir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nemselVerilerTable" displayName="DonemselVerilerTable" ref="A1:G121" totalsRowShown="0">
  <tableColumns count="7">
    <tableColumn id="1" xr3:uid="{00000000-0010-0000-0100-000001000000}" name="Musteri_ID"/>
    <tableColumn id="2" xr3:uid="{00000000-0010-0000-0100-000002000000}" name="Donem"/>
    <tableColumn id="3" xr3:uid="{00000000-0010-0000-0100-000003000000}" name="Satis_TL"/>
    <tableColumn id="4" xr3:uid="{00000000-0010-0000-0100-000004000000}" name="Toplam_Borc_TL"/>
    <tableColumn id="5" xr3:uid="{00000000-0010-0000-0100-000005000000}" name="Limit_Kullanim_%"/>
    <tableColumn id="6" xr3:uid="{00000000-0010-0000-0100-000006000000}" name="Gecikme_Adedi"/>
    <tableColumn id="7" xr3:uid="{00000000-0010-0000-0100-000007000000}" name="Maks_Gecikme_Gun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4.25"/>
  <cols>
    <col min="1" max="1" width="12" customWidth="1"/>
    <col min="2" max="2" width="20" customWidth="1"/>
    <col min="3" max="3" width="14" customWidth="1"/>
    <col min="4" max="4" width="11" customWidth="1"/>
    <col min="5" max="10" width="18" customWidth="1"/>
    <col min="11" max="12" width="15" customWidth="1"/>
    <col min="13" max="13" width="17" customWidth="1"/>
    <col min="14" max="14" width="16" customWidth="1"/>
    <col min="15" max="17" width="15" customWidth="1"/>
    <col min="18" max="18" width="18" customWidth="1"/>
    <col min="19" max="19" width="12" customWidth="1"/>
    <col min="20" max="20" width="18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0.100000000000001" customHeight="1">
      <c r="A2" s="2" t="s">
        <v>20</v>
      </c>
      <c r="B2" s="2" t="s">
        <v>21</v>
      </c>
      <c r="C2" s="2" t="s">
        <v>22</v>
      </c>
      <c r="D2" s="2">
        <v>22</v>
      </c>
      <c r="E2" s="3">
        <v>22000000</v>
      </c>
      <c r="F2" s="3">
        <v>15290141</v>
      </c>
      <c r="G2" s="3">
        <v>19000000</v>
      </c>
      <c r="H2" s="3">
        <v>18650943</v>
      </c>
      <c r="I2" s="3">
        <v>13000000</v>
      </c>
      <c r="J2" s="3">
        <v>10909300</v>
      </c>
      <c r="K2" s="2">
        <v>1</v>
      </c>
      <c r="L2" s="2">
        <v>37</v>
      </c>
      <c r="M2" s="2" t="s">
        <v>23</v>
      </c>
      <c r="N2" s="4">
        <v>46044</v>
      </c>
      <c r="O2" s="5">
        <f t="shared" ref="O2:O31" si="0">IFERROR((F2-E2)/E2,0)</f>
        <v>-0.30499359090909089</v>
      </c>
      <c r="P2" s="5">
        <f t="shared" ref="P2:P31" si="1">IFERROR((H2-G2)/G2,0)</f>
        <v>-1.8371421052631579E-2</v>
      </c>
      <c r="Q2" s="5">
        <f t="shared" ref="Q2:Q31" si="2">IFERROR(J2/I2,0)</f>
        <v>0.83917692307692304</v>
      </c>
      <c r="R2" s="2">
        <f t="shared" ref="R2:R31" ca="1" si="3">TODAY()-N2</f>
        <v>233</v>
      </c>
      <c r="S2" s="2">
        <f t="shared" ref="S2:S31" ca="1" si="4">IF(O2&lt;=-15%,1,0)+IF(P2&gt;=20%,1,0)+IF(Q2&gt;=85%,1,0)+IF(K2&gt;0,1,0)+IF(L2&gt;=15,1,0)+IF(M2&lt;&gt;"Yeterli",1,0)+IF(R2&gt;180,1,0)</f>
        <v>4</v>
      </c>
      <c r="T2" s="2" t="str">
        <f t="shared" ref="T2:T31" ca="1" si="5">IF(S2&gt;=5,"Yüksek Dikkat",IF(S2&gt;=3,"İncelenmeli","Normal İzleme"))</f>
        <v>İncelenmeli</v>
      </c>
    </row>
    <row r="3" spans="1:20" ht="20.100000000000001" customHeight="1">
      <c r="A3" s="2" t="s">
        <v>24</v>
      </c>
      <c r="B3" s="2" t="s">
        <v>25</v>
      </c>
      <c r="C3" s="2" t="s">
        <v>26</v>
      </c>
      <c r="D3" s="2">
        <v>2</v>
      </c>
      <c r="E3" s="3">
        <v>19000000</v>
      </c>
      <c r="F3" s="3">
        <v>15412472</v>
      </c>
      <c r="G3" s="3">
        <v>34000000</v>
      </c>
      <c r="H3" s="3">
        <v>41389300</v>
      </c>
      <c r="I3" s="3">
        <v>40000000</v>
      </c>
      <c r="J3" s="3">
        <v>16362804</v>
      </c>
      <c r="K3" s="2">
        <v>1</v>
      </c>
      <c r="L3" s="2">
        <v>37</v>
      </c>
      <c r="M3" s="2" t="s">
        <v>23</v>
      </c>
      <c r="N3" s="4">
        <v>46031</v>
      </c>
      <c r="O3" s="5">
        <f t="shared" si="0"/>
        <v>-0.18881726315789474</v>
      </c>
      <c r="P3" s="5">
        <f t="shared" si="1"/>
        <v>0.21733235294117648</v>
      </c>
      <c r="Q3" s="5">
        <f t="shared" si="2"/>
        <v>0.40907009999999999</v>
      </c>
      <c r="R3" s="2">
        <f t="shared" ca="1" si="3"/>
        <v>246</v>
      </c>
      <c r="S3" s="2">
        <f t="shared" ca="1" si="4"/>
        <v>5</v>
      </c>
      <c r="T3" s="2" t="str">
        <f t="shared" ca="1" si="5"/>
        <v>Yüksek Dikkat</v>
      </c>
    </row>
    <row r="4" spans="1:20" ht="20.100000000000001" customHeight="1">
      <c r="A4" s="2" t="s">
        <v>27</v>
      </c>
      <c r="B4" s="2" t="s">
        <v>28</v>
      </c>
      <c r="C4" s="2" t="s">
        <v>29</v>
      </c>
      <c r="D4" s="2">
        <v>27</v>
      </c>
      <c r="E4" s="3">
        <v>8000000</v>
      </c>
      <c r="F4" s="3">
        <v>9082275</v>
      </c>
      <c r="G4" s="3">
        <v>12000000</v>
      </c>
      <c r="H4" s="3">
        <v>15369264</v>
      </c>
      <c r="I4" s="3">
        <v>26000000</v>
      </c>
      <c r="J4" s="3">
        <v>12279723</v>
      </c>
      <c r="K4" s="2">
        <v>0</v>
      </c>
      <c r="L4" s="2">
        <v>0</v>
      </c>
      <c r="M4" s="2" t="s">
        <v>30</v>
      </c>
      <c r="N4" s="4">
        <v>46208</v>
      </c>
      <c r="O4" s="5">
        <f t="shared" si="0"/>
        <v>0.13528437500000001</v>
      </c>
      <c r="P4" s="5">
        <f t="shared" si="1"/>
        <v>0.28077200000000002</v>
      </c>
      <c r="Q4" s="5">
        <f t="shared" si="2"/>
        <v>0.47229703846153848</v>
      </c>
      <c r="R4" s="2">
        <f t="shared" ca="1" si="3"/>
        <v>69</v>
      </c>
      <c r="S4" s="2">
        <f t="shared" ca="1" si="4"/>
        <v>2</v>
      </c>
      <c r="T4" s="2" t="str">
        <f t="shared" ca="1" si="5"/>
        <v>Normal İzleme</v>
      </c>
    </row>
    <row r="5" spans="1:20" ht="20.100000000000001" customHeight="1">
      <c r="A5" s="2" t="s">
        <v>31</v>
      </c>
      <c r="B5" s="2" t="s">
        <v>32</v>
      </c>
      <c r="C5" s="2" t="s">
        <v>33</v>
      </c>
      <c r="D5" s="2">
        <v>14</v>
      </c>
      <c r="E5" s="3">
        <v>20000000</v>
      </c>
      <c r="F5" s="3">
        <v>17907752</v>
      </c>
      <c r="G5" s="3">
        <v>24000000</v>
      </c>
      <c r="H5" s="3">
        <v>29243020</v>
      </c>
      <c r="I5" s="3">
        <v>7000000</v>
      </c>
      <c r="J5" s="3">
        <v>5836498</v>
      </c>
      <c r="K5" s="2">
        <v>1</v>
      </c>
      <c r="L5" s="2">
        <v>27</v>
      </c>
      <c r="M5" s="2" t="s">
        <v>23</v>
      </c>
      <c r="N5" s="4">
        <v>46110</v>
      </c>
      <c r="O5" s="5">
        <f t="shared" si="0"/>
        <v>-0.10461239999999999</v>
      </c>
      <c r="P5" s="5">
        <f t="shared" si="1"/>
        <v>0.21845916666666668</v>
      </c>
      <c r="Q5" s="5">
        <f t="shared" si="2"/>
        <v>0.83378542857142857</v>
      </c>
      <c r="R5" s="2">
        <f t="shared" ca="1" si="3"/>
        <v>167</v>
      </c>
      <c r="S5" s="2">
        <f t="shared" ca="1" si="4"/>
        <v>3</v>
      </c>
      <c r="T5" s="2" t="str">
        <f t="shared" ca="1" si="5"/>
        <v>İncelenmeli</v>
      </c>
    </row>
    <row r="6" spans="1:20" ht="20.100000000000001" customHeight="1">
      <c r="A6" s="2" t="s">
        <v>34</v>
      </c>
      <c r="B6" s="2" t="s">
        <v>35</v>
      </c>
      <c r="C6" s="2" t="s">
        <v>36</v>
      </c>
      <c r="D6" s="2">
        <v>20</v>
      </c>
      <c r="E6" s="3">
        <v>32000000</v>
      </c>
      <c r="F6" s="3">
        <v>35287779</v>
      </c>
      <c r="G6" s="3">
        <v>4000000</v>
      </c>
      <c r="H6" s="3">
        <v>5025735</v>
      </c>
      <c r="I6" s="3">
        <v>54000000</v>
      </c>
      <c r="J6" s="3">
        <v>26001560</v>
      </c>
      <c r="K6" s="2">
        <v>0</v>
      </c>
      <c r="L6" s="2">
        <v>0</v>
      </c>
      <c r="M6" s="2" t="s">
        <v>23</v>
      </c>
      <c r="N6" s="4">
        <v>46209</v>
      </c>
      <c r="O6" s="5">
        <f t="shared" si="0"/>
        <v>0.10274309375</v>
      </c>
      <c r="P6" s="5">
        <f t="shared" si="1"/>
        <v>0.25643375000000002</v>
      </c>
      <c r="Q6" s="5">
        <f t="shared" si="2"/>
        <v>0.48151037037037037</v>
      </c>
      <c r="R6" s="2">
        <f t="shared" ca="1" si="3"/>
        <v>68</v>
      </c>
      <c r="S6" s="2">
        <f t="shared" ca="1" si="4"/>
        <v>1</v>
      </c>
      <c r="T6" s="2" t="str">
        <f t="shared" ca="1" si="5"/>
        <v>Normal İzleme</v>
      </c>
    </row>
    <row r="7" spans="1:20" ht="20.100000000000001" customHeight="1">
      <c r="A7" s="2" t="s">
        <v>37</v>
      </c>
      <c r="B7" s="2" t="s">
        <v>38</v>
      </c>
      <c r="C7" s="2" t="s">
        <v>29</v>
      </c>
      <c r="D7" s="2">
        <v>10</v>
      </c>
      <c r="E7" s="3">
        <v>66000000</v>
      </c>
      <c r="F7" s="3">
        <v>70053103</v>
      </c>
      <c r="G7" s="3">
        <v>25000000</v>
      </c>
      <c r="H7" s="3">
        <v>23183792</v>
      </c>
      <c r="I7" s="3">
        <v>27000000</v>
      </c>
      <c r="J7" s="3">
        <v>11275351</v>
      </c>
      <c r="K7" s="2">
        <v>0</v>
      </c>
      <c r="L7" s="2">
        <v>0</v>
      </c>
      <c r="M7" s="2" t="s">
        <v>39</v>
      </c>
      <c r="N7" s="4">
        <v>45929</v>
      </c>
      <c r="O7" s="5">
        <f t="shared" si="0"/>
        <v>6.1410651515151515E-2</v>
      </c>
      <c r="P7" s="5">
        <f t="shared" si="1"/>
        <v>-7.2648320000000002E-2</v>
      </c>
      <c r="Q7" s="5">
        <f t="shared" si="2"/>
        <v>0.41760559259259261</v>
      </c>
      <c r="R7" s="2">
        <f t="shared" ca="1" si="3"/>
        <v>348</v>
      </c>
      <c r="S7" s="2">
        <f t="shared" ca="1" si="4"/>
        <v>2</v>
      </c>
      <c r="T7" s="2" t="str">
        <f t="shared" ca="1" si="5"/>
        <v>Normal İzleme</v>
      </c>
    </row>
    <row r="8" spans="1:20" ht="20.100000000000001" customHeight="1">
      <c r="A8" s="2" t="s">
        <v>40</v>
      </c>
      <c r="B8" s="2" t="s">
        <v>41</v>
      </c>
      <c r="C8" s="2" t="s">
        <v>22</v>
      </c>
      <c r="D8" s="2">
        <v>21</v>
      </c>
      <c r="E8" s="3">
        <v>89000000</v>
      </c>
      <c r="F8" s="3">
        <v>69658803</v>
      </c>
      <c r="G8" s="3">
        <v>17000000</v>
      </c>
      <c r="H8" s="3">
        <v>15773375</v>
      </c>
      <c r="I8" s="3">
        <v>29000000</v>
      </c>
      <c r="J8" s="3">
        <v>13512789</v>
      </c>
      <c r="K8" s="2">
        <v>3</v>
      </c>
      <c r="L8" s="2">
        <v>38</v>
      </c>
      <c r="M8" s="2" t="s">
        <v>23</v>
      </c>
      <c r="N8" s="4">
        <v>46094</v>
      </c>
      <c r="O8" s="5">
        <f t="shared" si="0"/>
        <v>-0.2173168202247191</v>
      </c>
      <c r="P8" s="5">
        <f t="shared" si="1"/>
        <v>-7.2154411764705884E-2</v>
      </c>
      <c r="Q8" s="5">
        <f t="shared" si="2"/>
        <v>0.46595824137931036</v>
      </c>
      <c r="R8" s="2">
        <f t="shared" ca="1" si="3"/>
        <v>183</v>
      </c>
      <c r="S8" s="2">
        <f t="shared" ca="1" si="4"/>
        <v>4</v>
      </c>
      <c r="T8" s="2" t="str">
        <f t="shared" ca="1" si="5"/>
        <v>İncelenmeli</v>
      </c>
    </row>
    <row r="9" spans="1:20" ht="20.100000000000001" customHeight="1">
      <c r="A9" s="2" t="s">
        <v>42</v>
      </c>
      <c r="B9" s="2" t="s">
        <v>43</v>
      </c>
      <c r="C9" s="2" t="s">
        <v>36</v>
      </c>
      <c r="D9" s="2">
        <v>9</v>
      </c>
      <c r="E9" s="3">
        <v>12000000</v>
      </c>
      <c r="F9" s="3">
        <v>13956329</v>
      </c>
      <c r="G9" s="3">
        <v>27000000</v>
      </c>
      <c r="H9" s="3">
        <v>26911142</v>
      </c>
      <c r="I9" s="3">
        <v>18000000</v>
      </c>
      <c r="J9" s="3">
        <v>17649160</v>
      </c>
      <c r="K9" s="2">
        <v>1</v>
      </c>
      <c r="L9" s="2">
        <v>23</v>
      </c>
      <c r="M9" s="2" t="s">
        <v>23</v>
      </c>
      <c r="N9" s="4">
        <v>46005</v>
      </c>
      <c r="O9" s="5">
        <f t="shared" si="0"/>
        <v>0.16302741666666667</v>
      </c>
      <c r="P9" s="5">
        <f t="shared" si="1"/>
        <v>-3.2910370370370372E-3</v>
      </c>
      <c r="Q9" s="5">
        <f t="shared" si="2"/>
        <v>0.98050888888888887</v>
      </c>
      <c r="R9" s="2">
        <f t="shared" ca="1" si="3"/>
        <v>272</v>
      </c>
      <c r="S9" s="2">
        <f t="shared" ca="1" si="4"/>
        <v>4</v>
      </c>
      <c r="T9" s="2" t="str">
        <f t="shared" ca="1" si="5"/>
        <v>İncelenmeli</v>
      </c>
    </row>
    <row r="10" spans="1:20" ht="20.100000000000001" customHeight="1">
      <c r="A10" s="2" t="s">
        <v>44</v>
      </c>
      <c r="B10" s="2" t="s">
        <v>45</v>
      </c>
      <c r="C10" s="2" t="s">
        <v>33</v>
      </c>
      <c r="D10" s="2">
        <v>22</v>
      </c>
      <c r="E10" s="3">
        <v>66000000</v>
      </c>
      <c r="F10" s="3">
        <v>50537714</v>
      </c>
      <c r="G10" s="3">
        <v>10000000</v>
      </c>
      <c r="H10" s="3">
        <v>9827741</v>
      </c>
      <c r="I10" s="3">
        <v>40000000</v>
      </c>
      <c r="J10" s="3">
        <v>27247273</v>
      </c>
      <c r="K10" s="2">
        <v>1</v>
      </c>
      <c r="L10" s="2">
        <v>30</v>
      </c>
      <c r="M10" s="2" t="s">
        <v>39</v>
      </c>
      <c r="N10" s="4">
        <v>46056</v>
      </c>
      <c r="O10" s="5">
        <f t="shared" si="0"/>
        <v>-0.2342770606060606</v>
      </c>
      <c r="P10" s="5">
        <f t="shared" si="1"/>
        <v>-1.7225899999999999E-2</v>
      </c>
      <c r="Q10" s="5">
        <f t="shared" si="2"/>
        <v>0.68118182500000002</v>
      </c>
      <c r="R10" s="2">
        <f t="shared" ca="1" si="3"/>
        <v>221</v>
      </c>
      <c r="S10" s="2">
        <f t="shared" ca="1" si="4"/>
        <v>5</v>
      </c>
      <c r="T10" s="2" t="str">
        <f t="shared" ca="1" si="5"/>
        <v>Yüksek Dikkat</v>
      </c>
    </row>
    <row r="11" spans="1:20" ht="20.100000000000001" customHeight="1">
      <c r="A11" s="2" t="s">
        <v>46</v>
      </c>
      <c r="B11" s="2" t="s">
        <v>47</v>
      </c>
      <c r="C11" s="2" t="s">
        <v>29</v>
      </c>
      <c r="D11" s="2">
        <v>9</v>
      </c>
      <c r="E11" s="3">
        <v>25000000</v>
      </c>
      <c r="F11" s="3">
        <v>24642894</v>
      </c>
      <c r="G11" s="3">
        <v>7000000</v>
      </c>
      <c r="H11" s="3">
        <v>9231713</v>
      </c>
      <c r="I11" s="3">
        <v>12000000</v>
      </c>
      <c r="J11" s="3">
        <v>4467276</v>
      </c>
      <c r="K11" s="2">
        <v>0</v>
      </c>
      <c r="L11" s="2">
        <v>0</v>
      </c>
      <c r="M11" s="2" t="s">
        <v>30</v>
      </c>
      <c r="N11" s="4">
        <v>45955</v>
      </c>
      <c r="O11" s="5">
        <f t="shared" si="0"/>
        <v>-1.428424E-2</v>
      </c>
      <c r="P11" s="5">
        <f t="shared" si="1"/>
        <v>0.31881614285714288</v>
      </c>
      <c r="Q11" s="5">
        <f t="shared" si="2"/>
        <v>0.37227300000000002</v>
      </c>
      <c r="R11" s="2">
        <f t="shared" ca="1" si="3"/>
        <v>322</v>
      </c>
      <c r="S11" s="2">
        <f t="shared" ca="1" si="4"/>
        <v>3</v>
      </c>
      <c r="T11" s="2" t="str">
        <f t="shared" ca="1" si="5"/>
        <v>İncelenmeli</v>
      </c>
    </row>
    <row r="12" spans="1:20" ht="20.100000000000001" customHeight="1">
      <c r="A12" s="2" t="s">
        <v>48</v>
      </c>
      <c r="B12" s="2" t="s">
        <v>49</v>
      </c>
      <c r="C12" s="2" t="s">
        <v>26</v>
      </c>
      <c r="D12" s="2">
        <v>14</v>
      </c>
      <c r="E12" s="3">
        <v>56000000</v>
      </c>
      <c r="F12" s="3">
        <v>58101851</v>
      </c>
      <c r="G12" s="3">
        <v>31000000</v>
      </c>
      <c r="H12" s="3">
        <v>36245679</v>
      </c>
      <c r="I12" s="3">
        <v>40000000</v>
      </c>
      <c r="J12" s="3">
        <v>37544950</v>
      </c>
      <c r="K12" s="2">
        <v>0</v>
      </c>
      <c r="L12" s="2">
        <v>0</v>
      </c>
      <c r="M12" s="2" t="s">
        <v>30</v>
      </c>
      <c r="N12" s="4">
        <v>45911</v>
      </c>
      <c r="O12" s="5">
        <f t="shared" si="0"/>
        <v>3.7533053571428575E-2</v>
      </c>
      <c r="P12" s="5">
        <f t="shared" si="1"/>
        <v>0.16921545161290322</v>
      </c>
      <c r="Q12" s="5">
        <f t="shared" si="2"/>
        <v>0.93862374999999998</v>
      </c>
      <c r="R12" s="2">
        <f t="shared" ca="1" si="3"/>
        <v>366</v>
      </c>
      <c r="S12" s="2">
        <f t="shared" ca="1" si="4"/>
        <v>3</v>
      </c>
      <c r="T12" s="2" t="str">
        <f t="shared" ca="1" si="5"/>
        <v>İncelenmeli</v>
      </c>
    </row>
    <row r="13" spans="1:20" ht="20.100000000000001" customHeight="1">
      <c r="A13" s="2" t="s">
        <v>50</v>
      </c>
      <c r="B13" s="2" t="s">
        <v>51</v>
      </c>
      <c r="C13" s="2" t="s">
        <v>52</v>
      </c>
      <c r="D13" s="2">
        <v>26</v>
      </c>
      <c r="E13" s="3">
        <v>90000000</v>
      </c>
      <c r="F13" s="3">
        <v>79569475</v>
      </c>
      <c r="G13" s="3">
        <v>20000000</v>
      </c>
      <c r="H13" s="3">
        <v>22138901</v>
      </c>
      <c r="I13" s="3">
        <v>34000000</v>
      </c>
      <c r="J13" s="3">
        <v>8588272</v>
      </c>
      <c r="K13" s="2">
        <v>1</v>
      </c>
      <c r="L13" s="2">
        <v>19</v>
      </c>
      <c r="M13" s="2" t="s">
        <v>39</v>
      </c>
      <c r="N13" s="4">
        <v>45870</v>
      </c>
      <c r="O13" s="5">
        <f t="shared" si="0"/>
        <v>-0.11589472222222222</v>
      </c>
      <c r="P13" s="5">
        <f t="shared" si="1"/>
        <v>0.10694505</v>
      </c>
      <c r="Q13" s="5">
        <f t="shared" si="2"/>
        <v>0.25259623529411762</v>
      </c>
      <c r="R13" s="2">
        <f t="shared" ca="1" si="3"/>
        <v>407</v>
      </c>
      <c r="S13" s="2">
        <f t="shared" ca="1" si="4"/>
        <v>4</v>
      </c>
      <c r="T13" s="2" t="str">
        <f t="shared" ca="1" si="5"/>
        <v>İncelenmeli</v>
      </c>
    </row>
    <row r="14" spans="1:20" ht="20.100000000000001" customHeight="1">
      <c r="A14" s="2" t="s">
        <v>53</v>
      </c>
      <c r="B14" s="2" t="s">
        <v>54</v>
      </c>
      <c r="C14" s="2" t="s">
        <v>22</v>
      </c>
      <c r="D14" s="2">
        <v>18</v>
      </c>
      <c r="E14" s="3">
        <v>21000000</v>
      </c>
      <c r="F14" s="3">
        <v>25248533</v>
      </c>
      <c r="G14" s="3">
        <v>21000000</v>
      </c>
      <c r="H14" s="3">
        <v>28885537</v>
      </c>
      <c r="I14" s="3">
        <v>37000000</v>
      </c>
      <c r="J14" s="3">
        <v>27275518</v>
      </c>
      <c r="K14" s="2">
        <v>0</v>
      </c>
      <c r="L14" s="2">
        <v>0</v>
      </c>
      <c r="M14" s="2" t="s">
        <v>30</v>
      </c>
      <c r="N14" s="4">
        <v>45984</v>
      </c>
      <c r="O14" s="5">
        <f t="shared" si="0"/>
        <v>0.20231109523809523</v>
      </c>
      <c r="P14" s="5">
        <f t="shared" si="1"/>
        <v>0.37550176190476192</v>
      </c>
      <c r="Q14" s="5">
        <f t="shared" si="2"/>
        <v>0.7371761621621622</v>
      </c>
      <c r="R14" s="2">
        <f t="shared" ca="1" si="3"/>
        <v>293</v>
      </c>
      <c r="S14" s="2">
        <f t="shared" ca="1" si="4"/>
        <v>3</v>
      </c>
      <c r="T14" s="2" t="str">
        <f t="shared" ca="1" si="5"/>
        <v>İncelenmeli</v>
      </c>
    </row>
    <row r="15" spans="1:20" ht="20.100000000000001" customHeight="1">
      <c r="A15" s="2" t="s">
        <v>55</v>
      </c>
      <c r="B15" s="2" t="s">
        <v>56</v>
      </c>
      <c r="C15" s="2" t="s">
        <v>29</v>
      </c>
      <c r="D15" s="2">
        <v>21</v>
      </c>
      <c r="E15" s="3">
        <v>49000000</v>
      </c>
      <c r="F15" s="3">
        <v>47685007</v>
      </c>
      <c r="G15" s="3">
        <v>9000000</v>
      </c>
      <c r="H15" s="3">
        <v>12898845</v>
      </c>
      <c r="I15" s="3">
        <v>24000000</v>
      </c>
      <c r="J15" s="3">
        <v>10597484</v>
      </c>
      <c r="K15" s="2">
        <v>0</v>
      </c>
      <c r="L15" s="2">
        <v>0</v>
      </c>
      <c r="M15" s="2" t="s">
        <v>30</v>
      </c>
      <c r="N15" s="4">
        <v>46220</v>
      </c>
      <c r="O15" s="5">
        <f t="shared" si="0"/>
        <v>-2.6836591836734695E-2</v>
      </c>
      <c r="P15" s="5">
        <f t="shared" si="1"/>
        <v>0.43320500000000001</v>
      </c>
      <c r="Q15" s="5">
        <f t="shared" si="2"/>
        <v>0.44156183333333332</v>
      </c>
      <c r="R15" s="2">
        <f t="shared" ca="1" si="3"/>
        <v>57</v>
      </c>
      <c r="S15" s="2">
        <f t="shared" ca="1" si="4"/>
        <v>2</v>
      </c>
      <c r="T15" s="2" t="str">
        <f t="shared" ca="1" si="5"/>
        <v>Normal İzleme</v>
      </c>
    </row>
    <row r="16" spans="1:20" ht="20.100000000000001" customHeight="1">
      <c r="A16" s="2" t="s">
        <v>57</v>
      </c>
      <c r="B16" s="2" t="s">
        <v>58</v>
      </c>
      <c r="C16" s="2" t="s">
        <v>36</v>
      </c>
      <c r="D16" s="2">
        <v>25</v>
      </c>
      <c r="E16" s="3">
        <v>70000000</v>
      </c>
      <c r="F16" s="3">
        <v>81872976</v>
      </c>
      <c r="G16" s="3">
        <v>36000000</v>
      </c>
      <c r="H16" s="3">
        <v>47716226</v>
      </c>
      <c r="I16" s="3">
        <v>13000000</v>
      </c>
      <c r="J16" s="3">
        <v>10111408</v>
      </c>
      <c r="K16" s="2">
        <v>3</v>
      </c>
      <c r="L16" s="2">
        <v>13</v>
      </c>
      <c r="M16" s="2" t="s">
        <v>23</v>
      </c>
      <c r="N16" s="4">
        <v>45950</v>
      </c>
      <c r="O16" s="5">
        <f t="shared" si="0"/>
        <v>0.16961394285714285</v>
      </c>
      <c r="P16" s="5">
        <f t="shared" si="1"/>
        <v>0.32545072222222221</v>
      </c>
      <c r="Q16" s="5">
        <f t="shared" si="2"/>
        <v>0.77780061538461542</v>
      </c>
      <c r="R16" s="2">
        <f t="shared" ca="1" si="3"/>
        <v>327</v>
      </c>
      <c r="S16" s="2">
        <f t="shared" ca="1" si="4"/>
        <v>3</v>
      </c>
      <c r="T16" s="2" t="str">
        <f t="shared" ca="1" si="5"/>
        <v>İncelenmeli</v>
      </c>
    </row>
    <row r="17" spans="1:20" ht="20.100000000000001" customHeight="1">
      <c r="A17" s="2" t="s">
        <v>59</v>
      </c>
      <c r="B17" s="2" t="s">
        <v>60</v>
      </c>
      <c r="C17" s="2" t="s">
        <v>29</v>
      </c>
      <c r="D17" s="2">
        <v>8</v>
      </c>
      <c r="E17" s="3">
        <v>77000000</v>
      </c>
      <c r="F17" s="3">
        <v>87253252</v>
      </c>
      <c r="G17" s="3">
        <v>14000000</v>
      </c>
      <c r="H17" s="3">
        <v>18067648</v>
      </c>
      <c r="I17" s="3">
        <v>30000000</v>
      </c>
      <c r="J17" s="3">
        <v>31383584</v>
      </c>
      <c r="K17" s="2">
        <v>1</v>
      </c>
      <c r="L17" s="2">
        <v>31</v>
      </c>
      <c r="M17" s="2" t="s">
        <v>39</v>
      </c>
      <c r="N17" s="4">
        <v>46029</v>
      </c>
      <c r="O17" s="5">
        <f t="shared" si="0"/>
        <v>0.13315911688311688</v>
      </c>
      <c r="P17" s="5">
        <f t="shared" si="1"/>
        <v>0.2905462857142857</v>
      </c>
      <c r="Q17" s="5">
        <f t="shared" si="2"/>
        <v>1.0461194666666667</v>
      </c>
      <c r="R17" s="2">
        <f t="shared" ca="1" si="3"/>
        <v>248</v>
      </c>
      <c r="S17" s="2">
        <f t="shared" ca="1" si="4"/>
        <v>6</v>
      </c>
      <c r="T17" s="2" t="str">
        <f t="shared" ca="1" si="5"/>
        <v>Yüksek Dikkat</v>
      </c>
    </row>
    <row r="18" spans="1:20" ht="20.100000000000001" customHeight="1">
      <c r="A18" s="2" t="s">
        <v>61</v>
      </c>
      <c r="B18" s="2" t="s">
        <v>62</v>
      </c>
      <c r="C18" s="2" t="s">
        <v>63</v>
      </c>
      <c r="D18" s="2">
        <v>9</v>
      </c>
      <c r="E18" s="3">
        <v>36000000</v>
      </c>
      <c r="F18" s="3">
        <v>25862959</v>
      </c>
      <c r="G18" s="3">
        <v>3000000</v>
      </c>
      <c r="H18" s="3">
        <v>3624851</v>
      </c>
      <c r="I18" s="3">
        <v>19000000</v>
      </c>
      <c r="J18" s="3">
        <v>13694289</v>
      </c>
      <c r="K18" s="2">
        <v>0</v>
      </c>
      <c r="L18" s="2">
        <v>0</v>
      </c>
      <c r="M18" s="2" t="s">
        <v>30</v>
      </c>
      <c r="N18" s="4">
        <v>46230</v>
      </c>
      <c r="O18" s="5">
        <f t="shared" si="0"/>
        <v>-0.28158447222222222</v>
      </c>
      <c r="P18" s="5">
        <f t="shared" si="1"/>
        <v>0.20828366666666667</v>
      </c>
      <c r="Q18" s="5">
        <f t="shared" si="2"/>
        <v>0.72075205263157893</v>
      </c>
      <c r="R18" s="2">
        <f t="shared" ca="1" si="3"/>
        <v>47</v>
      </c>
      <c r="S18" s="2">
        <f t="shared" ca="1" si="4"/>
        <v>3</v>
      </c>
      <c r="T18" s="2" t="str">
        <f t="shared" ca="1" si="5"/>
        <v>İncelenmeli</v>
      </c>
    </row>
    <row r="19" spans="1:20" ht="20.100000000000001" customHeight="1">
      <c r="A19" s="2" t="s">
        <v>64</v>
      </c>
      <c r="B19" s="2" t="s">
        <v>65</v>
      </c>
      <c r="C19" s="2" t="s">
        <v>66</v>
      </c>
      <c r="D19" s="2">
        <v>4</v>
      </c>
      <c r="E19" s="3">
        <v>12000000</v>
      </c>
      <c r="F19" s="3">
        <v>14349374</v>
      </c>
      <c r="G19" s="3">
        <v>6000000</v>
      </c>
      <c r="H19" s="3">
        <v>6956058</v>
      </c>
      <c r="I19" s="3">
        <v>22000000</v>
      </c>
      <c r="J19" s="3">
        <v>17274008</v>
      </c>
      <c r="K19" s="2">
        <v>0</v>
      </c>
      <c r="L19" s="2">
        <v>0</v>
      </c>
      <c r="M19" s="2" t="s">
        <v>23</v>
      </c>
      <c r="N19" s="4">
        <v>45968</v>
      </c>
      <c r="O19" s="5">
        <f t="shared" si="0"/>
        <v>0.19578116666666667</v>
      </c>
      <c r="P19" s="5">
        <f t="shared" si="1"/>
        <v>0.15934300000000001</v>
      </c>
      <c r="Q19" s="5">
        <f t="shared" si="2"/>
        <v>0.78518218181818178</v>
      </c>
      <c r="R19" s="2">
        <f t="shared" ca="1" si="3"/>
        <v>309</v>
      </c>
      <c r="S19" s="2">
        <f t="shared" ca="1" si="4"/>
        <v>1</v>
      </c>
      <c r="T19" s="2" t="str">
        <f t="shared" ca="1" si="5"/>
        <v>Normal İzleme</v>
      </c>
    </row>
    <row r="20" spans="1:20" ht="20.100000000000001" customHeight="1">
      <c r="A20" s="2" t="s">
        <v>67</v>
      </c>
      <c r="B20" s="2" t="s">
        <v>68</v>
      </c>
      <c r="C20" s="2" t="s">
        <v>22</v>
      </c>
      <c r="D20" s="2">
        <v>9</v>
      </c>
      <c r="E20" s="3">
        <v>68000000</v>
      </c>
      <c r="F20" s="3">
        <v>79185877</v>
      </c>
      <c r="G20" s="3">
        <v>14000000</v>
      </c>
      <c r="H20" s="3">
        <v>12351570</v>
      </c>
      <c r="I20" s="3">
        <v>47000000</v>
      </c>
      <c r="J20" s="3">
        <v>27957524</v>
      </c>
      <c r="K20" s="2">
        <v>0</v>
      </c>
      <c r="L20" s="2">
        <v>0</v>
      </c>
      <c r="M20" s="2" t="s">
        <v>23</v>
      </c>
      <c r="N20" s="4">
        <v>45887</v>
      </c>
      <c r="O20" s="5">
        <f t="shared" si="0"/>
        <v>0.16449819117647058</v>
      </c>
      <c r="P20" s="5">
        <f t="shared" si="1"/>
        <v>-0.117745</v>
      </c>
      <c r="Q20" s="5">
        <f t="shared" si="2"/>
        <v>0.59484093617021272</v>
      </c>
      <c r="R20" s="2">
        <f t="shared" ca="1" si="3"/>
        <v>390</v>
      </c>
      <c r="S20" s="2">
        <f t="shared" ca="1" si="4"/>
        <v>1</v>
      </c>
      <c r="T20" s="2" t="str">
        <f t="shared" ca="1" si="5"/>
        <v>Normal İzleme</v>
      </c>
    </row>
    <row r="21" spans="1:20" ht="20.100000000000001" customHeight="1">
      <c r="A21" s="2" t="s">
        <v>69</v>
      </c>
      <c r="B21" s="2" t="s">
        <v>70</v>
      </c>
      <c r="C21" s="2" t="s">
        <v>52</v>
      </c>
      <c r="D21" s="2">
        <v>23</v>
      </c>
      <c r="E21" s="3">
        <v>90000000</v>
      </c>
      <c r="F21" s="3">
        <v>66514565</v>
      </c>
      <c r="G21" s="3">
        <v>27000000</v>
      </c>
      <c r="H21" s="3">
        <v>35116766</v>
      </c>
      <c r="I21" s="3">
        <v>11000000</v>
      </c>
      <c r="J21" s="3">
        <v>4938175</v>
      </c>
      <c r="K21" s="2">
        <v>0</v>
      </c>
      <c r="L21" s="2">
        <v>0</v>
      </c>
      <c r="M21" s="2" t="s">
        <v>23</v>
      </c>
      <c r="N21" s="4">
        <v>46044</v>
      </c>
      <c r="O21" s="5">
        <f t="shared" si="0"/>
        <v>-0.26094927777777777</v>
      </c>
      <c r="P21" s="5">
        <f t="shared" si="1"/>
        <v>0.30062096296296298</v>
      </c>
      <c r="Q21" s="5">
        <f t="shared" si="2"/>
        <v>0.44892500000000002</v>
      </c>
      <c r="R21" s="2">
        <f t="shared" ca="1" si="3"/>
        <v>233</v>
      </c>
      <c r="S21" s="2">
        <f t="shared" ca="1" si="4"/>
        <v>3</v>
      </c>
      <c r="T21" s="2" t="str">
        <f t="shared" ca="1" si="5"/>
        <v>İncelenmeli</v>
      </c>
    </row>
    <row r="22" spans="1:20" ht="20.100000000000001" customHeight="1">
      <c r="A22" s="2" t="s">
        <v>71</v>
      </c>
      <c r="B22" s="2" t="s">
        <v>72</v>
      </c>
      <c r="C22" s="2" t="s">
        <v>63</v>
      </c>
      <c r="D22" s="2">
        <v>10</v>
      </c>
      <c r="E22" s="3">
        <v>67000000</v>
      </c>
      <c r="F22" s="3">
        <v>55602219</v>
      </c>
      <c r="G22" s="3">
        <v>6000000</v>
      </c>
      <c r="H22" s="3">
        <v>6674797</v>
      </c>
      <c r="I22" s="3">
        <v>40000000</v>
      </c>
      <c r="J22" s="3">
        <v>13133079</v>
      </c>
      <c r="K22" s="2">
        <v>1</v>
      </c>
      <c r="L22" s="2">
        <v>37</v>
      </c>
      <c r="M22" s="2" t="s">
        <v>30</v>
      </c>
      <c r="N22" s="4">
        <v>46213</v>
      </c>
      <c r="O22" s="5">
        <f t="shared" si="0"/>
        <v>-0.1701161343283582</v>
      </c>
      <c r="P22" s="5">
        <f t="shared" si="1"/>
        <v>0.11246616666666667</v>
      </c>
      <c r="Q22" s="5">
        <f t="shared" si="2"/>
        <v>0.32832697500000002</v>
      </c>
      <c r="R22" s="2">
        <f t="shared" ca="1" si="3"/>
        <v>64</v>
      </c>
      <c r="S22" s="2">
        <f t="shared" ca="1" si="4"/>
        <v>4</v>
      </c>
      <c r="T22" s="2" t="str">
        <f t="shared" ca="1" si="5"/>
        <v>İncelenmeli</v>
      </c>
    </row>
    <row r="23" spans="1:20" ht="20.100000000000001" customHeight="1">
      <c r="A23" s="2" t="s">
        <v>73</v>
      </c>
      <c r="B23" s="2" t="s">
        <v>74</v>
      </c>
      <c r="C23" s="2" t="s">
        <v>66</v>
      </c>
      <c r="D23" s="2">
        <v>7</v>
      </c>
      <c r="E23" s="3">
        <v>60000000</v>
      </c>
      <c r="F23" s="3">
        <v>58283080</v>
      </c>
      <c r="G23" s="3">
        <v>15000000</v>
      </c>
      <c r="H23" s="3">
        <v>20860038</v>
      </c>
      <c r="I23" s="3">
        <v>8000000</v>
      </c>
      <c r="J23" s="3">
        <v>3053677</v>
      </c>
      <c r="K23" s="2">
        <v>0</v>
      </c>
      <c r="L23" s="2">
        <v>0</v>
      </c>
      <c r="M23" s="2" t="s">
        <v>23</v>
      </c>
      <c r="N23" s="4">
        <v>45859</v>
      </c>
      <c r="O23" s="5">
        <f t="shared" si="0"/>
        <v>-2.8615333333333333E-2</v>
      </c>
      <c r="P23" s="5">
        <f t="shared" si="1"/>
        <v>0.39066919999999999</v>
      </c>
      <c r="Q23" s="5">
        <f t="shared" si="2"/>
        <v>0.381709625</v>
      </c>
      <c r="R23" s="2">
        <f t="shared" ca="1" si="3"/>
        <v>418</v>
      </c>
      <c r="S23" s="2">
        <f t="shared" ca="1" si="4"/>
        <v>2</v>
      </c>
      <c r="T23" s="2" t="str">
        <f t="shared" ca="1" si="5"/>
        <v>Normal İzleme</v>
      </c>
    </row>
    <row r="24" spans="1:20" ht="20.100000000000001" customHeight="1">
      <c r="A24" s="2" t="s">
        <v>75</v>
      </c>
      <c r="B24" s="2" t="s">
        <v>76</v>
      </c>
      <c r="C24" s="2" t="s">
        <v>22</v>
      </c>
      <c r="D24" s="2">
        <v>11</v>
      </c>
      <c r="E24" s="3">
        <v>62000000</v>
      </c>
      <c r="F24" s="3">
        <v>68073203</v>
      </c>
      <c r="G24" s="3">
        <v>37000000</v>
      </c>
      <c r="H24" s="3">
        <v>46502897</v>
      </c>
      <c r="I24" s="3">
        <v>36000000</v>
      </c>
      <c r="J24" s="3">
        <v>13458148</v>
      </c>
      <c r="K24" s="2">
        <v>0</v>
      </c>
      <c r="L24" s="2">
        <v>0</v>
      </c>
      <c r="M24" s="2" t="s">
        <v>39</v>
      </c>
      <c r="N24" s="4">
        <v>45964</v>
      </c>
      <c r="O24" s="5">
        <f t="shared" si="0"/>
        <v>9.795488709677419E-2</v>
      </c>
      <c r="P24" s="5">
        <f t="shared" si="1"/>
        <v>0.25683505405405405</v>
      </c>
      <c r="Q24" s="5">
        <f t="shared" si="2"/>
        <v>0.37383744444444444</v>
      </c>
      <c r="R24" s="2">
        <f t="shared" ca="1" si="3"/>
        <v>313</v>
      </c>
      <c r="S24" s="2">
        <f t="shared" ca="1" si="4"/>
        <v>3</v>
      </c>
      <c r="T24" s="2" t="str">
        <f t="shared" ca="1" si="5"/>
        <v>İncelenmeli</v>
      </c>
    </row>
    <row r="25" spans="1:20" ht="20.100000000000001" customHeight="1">
      <c r="A25" s="2" t="s">
        <v>77</v>
      </c>
      <c r="B25" s="2" t="s">
        <v>78</v>
      </c>
      <c r="C25" s="2" t="s">
        <v>29</v>
      </c>
      <c r="D25" s="2">
        <v>25</v>
      </c>
      <c r="E25" s="3">
        <v>48000000</v>
      </c>
      <c r="F25" s="3">
        <v>34286359</v>
      </c>
      <c r="G25" s="3">
        <v>39000000</v>
      </c>
      <c r="H25" s="3">
        <v>44252536</v>
      </c>
      <c r="I25" s="3">
        <v>38000000</v>
      </c>
      <c r="J25" s="3">
        <v>14285954</v>
      </c>
      <c r="K25" s="2">
        <v>3</v>
      </c>
      <c r="L25" s="2">
        <v>8</v>
      </c>
      <c r="M25" s="2" t="s">
        <v>39</v>
      </c>
      <c r="N25" s="4">
        <v>46225</v>
      </c>
      <c r="O25" s="5">
        <f t="shared" si="0"/>
        <v>-0.28570085416666668</v>
      </c>
      <c r="P25" s="5">
        <f t="shared" si="1"/>
        <v>0.13468041025641025</v>
      </c>
      <c r="Q25" s="5">
        <f t="shared" si="2"/>
        <v>0.37594615789473684</v>
      </c>
      <c r="R25" s="2">
        <f t="shared" ca="1" si="3"/>
        <v>52</v>
      </c>
      <c r="S25" s="2">
        <f t="shared" ca="1" si="4"/>
        <v>3</v>
      </c>
      <c r="T25" s="2" t="str">
        <f t="shared" ca="1" si="5"/>
        <v>İncelenmeli</v>
      </c>
    </row>
    <row r="26" spans="1:20" ht="20.100000000000001" customHeight="1">
      <c r="A26" s="2" t="s">
        <v>79</v>
      </c>
      <c r="B26" s="2" t="s">
        <v>80</v>
      </c>
      <c r="C26" s="2" t="s">
        <v>33</v>
      </c>
      <c r="D26" s="2">
        <v>23</v>
      </c>
      <c r="E26" s="3">
        <v>38000000</v>
      </c>
      <c r="F26" s="3">
        <v>35046082</v>
      </c>
      <c r="G26" s="3">
        <v>38000000</v>
      </c>
      <c r="H26" s="3">
        <v>37335080</v>
      </c>
      <c r="I26" s="3">
        <v>43000000</v>
      </c>
      <c r="J26" s="3">
        <v>12117113</v>
      </c>
      <c r="K26" s="2">
        <v>0</v>
      </c>
      <c r="L26" s="2">
        <v>0</v>
      </c>
      <c r="M26" s="2" t="s">
        <v>30</v>
      </c>
      <c r="N26" s="4">
        <v>45971</v>
      </c>
      <c r="O26" s="5">
        <f t="shared" si="0"/>
        <v>-7.7734684210526317E-2</v>
      </c>
      <c r="P26" s="5">
        <f t="shared" si="1"/>
        <v>-1.7497894736842105E-2</v>
      </c>
      <c r="Q26" s="5">
        <f t="shared" si="2"/>
        <v>0.28179332558139536</v>
      </c>
      <c r="R26" s="2">
        <f t="shared" ca="1" si="3"/>
        <v>306</v>
      </c>
      <c r="S26" s="2">
        <f t="shared" ca="1" si="4"/>
        <v>2</v>
      </c>
      <c r="T26" s="2" t="str">
        <f t="shared" ca="1" si="5"/>
        <v>Normal İzleme</v>
      </c>
    </row>
    <row r="27" spans="1:20" ht="20.100000000000001" customHeight="1">
      <c r="A27" s="2" t="s">
        <v>81</v>
      </c>
      <c r="B27" s="2" t="s">
        <v>82</v>
      </c>
      <c r="C27" s="2" t="s">
        <v>29</v>
      </c>
      <c r="D27" s="2">
        <v>10</v>
      </c>
      <c r="E27" s="3">
        <v>34000000</v>
      </c>
      <c r="F27" s="3">
        <v>36782409</v>
      </c>
      <c r="G27" s="3">
        <v>22000000</v>
      </c>
      <c r="H27" s="3">
        <v>21505720</v>
      </c>
      <c r="I27" s="3">
        <v>30000000</v>
      </c>
      <c r="J27" s="3">
        <v>10641078</v>
      </c>
      <c r="K27" s="2">
        <v>1</v>
      </c>
      <c r="L27" s="2">
        <v>32</v>
      </c>
      <c r="M27" s="2" t="s">
        <v>23</v>
      </c>
      <c r="N27" s="4">
        <v>45876</v>
      </c>
      <c r="O27" s="5">
        <f t="shared" si="0"/>
        <v>8.1835558823529414E-2</v>
      </c>
      <c r="P27" s="5">
        <f t="shared" si="1"/>
        <v>-2.2467272727272728E-2</v>
      </c>
      <c r="Q27" s="5">
        <f t="shared" si="2"/>
        <v>0.35470259999999998</v>
      </c>
      <c r="R27" s="2">
        <f t="shared" ca="1" si="3"/>
        <v>401</v>
      </c>
      <c r="S27" s="2">
        <f t="shared" ca="1" si="4"/>
        <v>3</v>
      </c>
      <c r="T27" s="2" t="str">
        <f t="shared" ca="1" si="5"/>
        <v>İncelenmeli</v>
      </c>
    </row>
    <row r="28" spans="1:20" ht="20.100000000000001" customHeight="1">
      <c r="A28" s="2" t="s">
        <v>83</v>
      </c>
      <c r="B28" s="2" t="s">
        <v>84</v>
      </c>
      <c r="C28" s="2" t="s">
        <v>63</v>
      </c>
      <c r="D28" s="2">
        <v>2</v>
      </c>
      <c r="E28" s="3">
        <v>66000000</v>
      </c>
      <c r="F28" s="3">
        <v>69477906</v>
      </c>
      <c r="G28" s="3">
        <v>38000000</v>
      </c>
      <c r="H28" s="3">
        <v>56142098</v>
      </c>
      <c r="I28" s="3">
        <v>9000000</v>
      </c>
      <c r="J28" s="3">
        <v>6120967</v>
      </c>
      <c r="K28" s="2">
        <v>1</v>
      </c>
      <c r="L28" s="2">
        <v>11</v>
      </c>
      <c r="M28" s="2" t="s">
        <v>39</v>
      </c>
      <c r="N28" s="4">
        <v>46225</v>
      </c>
      <c r="O28" s="5">
        <f t="shared" si="0"/>
        <v>5.2695545454545453E-2</v>
      </c>
      <c r="P28" s="5">
        <f t="shared" si="1"/>
        <v>0.47742363157894735</v>
      </c>
      <c r="Q28" s="5">
        <f t="shared" si="2"/>
        <v>0.68010744444444449</v>
      </c>
      <c r="R28" s="2">
        <f t="shared" ca="1" si="3"/>
        <v>52</v>
      </c>
      <c r="S28" s="2">
        <f t="shared" ca="1" si="4"/>
        <v>3</v>
      </c>
      <c r="T28" s="2" t="str">
        <f t="shared" ca="1" si="5"/>
        <v>İncelenmeli</v>
      </c>
    </row>
    <row r="29" spans="1:20" ht="20.100000000000001" customHeight="1">
      <c r="A29" s="2" t="s">
        <v>85</v>
      </c>
      <c r="B29" s="2" t="s">
        <v>86</v>
      </c>
      <c r="C29" s="2" t="s">
        <v>26</v>
      </c>
      <c r="D29" s="2">
        <v>13</v>
      </c>
      <c r="E29" s="3">
        <v>44000000</v>
      </c>
      <c r="F29" s="3">
        <v>34084516</v>
      </c>
      <c r="G29" s="3">
        <v>36000000</v>
      </c>
      <c r="H29" s="3">
        <v>46236108</v>
      </c>
      <c r="I29" s="3">
        <v>44000000</v>
      </c>
      <c r="J29" s="3">
        <v>45631636</v>
      </c>
      <c r="K29" s="2">
        <v>2</v>
      </c>
      <c r="L29" s="2">
        <v>36</v>
      </c>
      <c r="M29" s="2" t="s">
        <v>23</v>
      </c>
      <c r="N29" s="4">
        <v>45977</v>
      </c>
      <c r="O29" s="5">
        <f t="shared" si="0"/>
        <v>-0.2253519090909091</v>
      </c>
      <c r="P29" s="5">
        <f t="shared" si="1"/>
        <v>0.28433633333333336</v>
      </c>
      <c r="Q29" s="5">
        <f t="shared" si="2"/>
        <v>1.0370826363636363</v>
      </c>
      <c r="R29" s="2">
        <f t="shared" ca="1" si="3"/>
        <v>300</v>
      </c>
      <c r="S29" s="2">
        <f t="shared" ca="1" si="4"/>
        <v>6</v>
      </c>
      <c r="T29" s="2" t="str">
        <f t="shared" ca="1" si="5"/>
        <v>Yüksek Dikkat</v>
      </c>
    </row>
    <row r="30" spans="1:20" ht="20.100000000000001" customHeight="1">
      <c r="A30" s="2" t="s">
        <v>87</v>
      </c>
      <c r="B30" s="2" t="s">
        <v>88</v>
      </c>
      <c r="C30" s="2" t="s">
        <v>33</v>
      </c>
      <c r="D30" s="2">
        <v>23</v>
      </c>
      <c r="E30" s="3">
        <v>21000000</v>
      </c>
      <c r="F30" s="3">
        <v>26110518</v>
      </c>
      <c r="G30" s="3">
        <v>10000000</v>
      </c>
      <c r="H30" s="3">
        <v>9945475</v>
      </c>
      <c r="I30" s="3">
        <v>11000000</v>
      </c>
      <c r="J30" s="3">
        <v>9283266</v>
      </c>
      <c r="K30" s="2">
        <v>0</v>
      </c>
      <c r="L30" s="2">
        <v>0</v>
      </c>
      <c r="M30" s="2" t="s">
        <v>23</v>
      </c>
      <c r="N30" s="4">
        <v>46153</v>
      </c>
      <c r="O30" s="5">
        <f t="shared" si="0"/>
        <v>0.24335799999999999</v>
      </c>
      <c r="P30" s="5">
        <f t="shared" si="1"/>
        <v>-5.4524999999999999E-3</v>
      </c>
      <c r="Q30" s="5">
        <f t="shared" si="2"/>
        <v>0.8439332727272727</v>
      </c>
      <c r="R30" s="2">
        <f t="shared" ca="1" si="3"/>
        <v>124</v>
      </c>
      <c r="S30" s="2">
        <f t="shared" ca="1" si="4"/>
        <v>0</v>
      </c>
      <c r="T30" s="2" t="str">
        <f t="shared" ca="1" si="5"/>
        <v>Normal İzleme</v>
      </c>
    </row>
    <row r="31" spans="1:20" ht="20.100000000000001" customHeight="1">
      <c r="A31" s="2" t="s">
        <v>89</v>
      </c>
      <c r="B31" s="2" t="s">
        <v>90</v>
      </c>
      <c r="C31" s="2" t="s">
        <v>33</v>
      </c>
      <c r="D31" s="2">
        <v>8</v>
      </c>
      <c r="E31" s="3">
        <v>89000000</v>
      </c>
      <c r="F31" s="3">
        <v>106065544</v>
      </c>
      <c r="G31" s="3">
        <v>34000000</v>
      </c>
      <c r="H31" s="3">
        <v>38842654</v>
      </c>
      <c r="I31" s="3">
        <v>8000000</v>
      </c>
      <c r="J31" s="3">
        <v>6480000</v>
      </c>
      <c r="K31" s="2">
        <v>2</v>
      </c>
      <c r="L31" s="2">
        <v>14</v>
      </c>
      <c r="M31" s="2" t="s">
        <v>23</v>
      </c>
      <c r="N31" s="4">
        <v>46259</v>
      </c>
      <c r="O31" s="5">
        <f t="shared" si="0"/>
        <v>0.19174768539325843</v>
      </c>
      <c r="P31" s="5">
        <f t="shared" si="1"/>
        <v>0.142431</v>
      </c>
      <c r="Q31" s="5">
        <f t="shared" si="2"/>
        <v>0.81</v>
      </c>
      <c r="R31" s="2">
        <f t="shared" ca="1" si="3"/>
        <v>18</v>
      </c>
      <c r="S31" s="2">
        <f t="shared" ca="1" si="4"/>
        <v>1</v>
      </c>
      <c r="T31" s="2" t="str">
        <f t="shared" ca="1" si="5"/>
        <v>Normal İzleme</v>
      </c>
    </row>
  </sheetData>
  <conditionalFormatting sqref="O2:O31">
    <cfRule type="cellIs" dxfId="3" priority="1" operator="lessThanOrEqual">
      <formula>-0.15</formula>
    </cfRule>
  </conditionalFormatting>
  <conditionalFormatting sqref="P2:P31">
    <cfRule type="cellIs" dxfId="2" priority="2" operator="greaterThanOrEqual">
      <formula>0.2</formula>
    </cfRule>
  </conditionalFormatting>
  <conditionalFormatting sqref="Q2:Q31">
    <cfRule type="cellIs" dxfId="1" priority="3" operator="greaterThanOrEqual">
      <formula>0.85</formula>
    </cfRule>
  </conditionalFormatting>
  <conditionalFormatting sqref="S2:S31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25"/>
  <cols>
    <col min="1" max="1" width="22" customWidth="1"/>
    <col min="2" max="2" width="25" customWidth="1"/>
    <col min="3" max="3" width="42" customWidth="1"/>
    <col min="4" max="4" width="14" customWidth="1"/>
  </cols>
  <sheetData>
    <row r="1" spans="1:4" ht="15">
      <c r="A1" s="1" t="s">
        <v>91</v>
      </c>
      <c r="B1" s="1" t="s">
        <v>92</v>
      </c>
      <c r="C1" s="1" t="s">
        <v>93</v>
      </c>
      <c r="D1" s="1" t="s">
        <v>94</v>
      </c>
    </row>
    <row r="2" spans="1:4">
      <c r="A2" s="2" t="s">
        <v>95</v>
      </c>
      <c r="B2" s="2" t="s">
        <v>96</v>
      </c>
      <c r="C2" s="2" t="s">
        <v>97</v>
      </c>
      <c r="D2" s="2">
        <v>1</v>
      </c>
    </row>
    <row r="3" spans="1:4">
      <c r="A3" s="2" t="s">
        <v>98</v>
      </c>
      <c r="B3" s="2" t="s">
        <v>99</v>
      </c>
      <c r="C3" s="2" t="s">
        <v>100</v>
      </c>
      <c r="D3" s="2">
        <v>1</v>
      </c>
    </row>
    <row r="4" spans="1:4">
      <c r="A4" s="2" t="s">
        <v>101</v>
      </c>
      <c r="B4" s="2" t="s">
        <v>102</v>
      </c>
      <c r="C4" s="2" t="s">
        <v>103</v>
      </c>
      <c r="D4" s="2">
        <v>1</v>
      </c>
    </row>
    <row r="5" spans="1:4">
      <c r="A5" s="2" t="s">
        <v>104</v>
      </c>
      <c r="B5" s="2" t="s">
        <v>105</v>
      </c>
      <c r="C5" s="2" t="s">
        <v>106</v>
      </c>
      <c r="D5" s="2">
        <v>1</v>
      </c>
    </row>
    <row r="6" spans="1:4">
      <c r="A6" s="2" t="s">
        <v>107</v>
      </c>
      <c r="B6" s="2" t="s">
        <v>108</v>
      </c>
      <c r="C6" s="2" t="s">
        <v>109</v>
      </c>
      <c r="D6" s="2">
        <v>1</v>
      </c>
    </row>
    <row r="7" spans="1:4">
      <c r="A7" s="2" t="s">
        <v>110</v>
      </c>
      <c r="B7" s="2" t="s">
        <v>111</v>
      </c>
      <c r="C7" s="2" t="s">
        <v>112</v>
      </c>
      <c r="D7" s="2">
        <v>1</v>
      </c>
    </row>
    <row r="8" spans="1:4">
      <c r="A8" s="2" t="s">
        <v>113</v>
      </c>
      <c r="B8" s="2" t="s">
        <v>114</v>
      </c>
      <c r="C8" s="2" t="s">
        <v>115</v>
      </c>
      <c r="D8" s="2">
        <v>1</v>
      </c>
    </row>
    <row r="9" spans="1:4">
      <c r="A9" s="2"/>
      <c r="B9" s="2"/>
      <c r="C9" s="2"/>
      <c r="D9" s="2"/>
    </row>
    <row r="10" spans="1:4">
      <c r="A10" s="2" t="s">
        <v>116</v>
      </c>
      <c r="B10" s="2" t="s">
        <v>117</v>
      </c>
      <c r="C10" s="2" t="s">
        <v>118</v>
      </c>
      <c r="D10" s="2"/>
    </row>
    <row r="11" spans="1:4">
      <c r="A11" s="2" t="s">
        <v>116</v>
      </c>
      <c r="B11" s="2" t="s">
        <v>119</v>
      </c>
      <c r="C11" s="2" t="s">
        <v>120</v>
      </c>
      <c r="D11" s="2"/>
    </row>
    <row r="12" spans="1:4">
      <c r="A12" s="2" t="s">
        <v>116</v>
      </c>
      <c r="B12" s="2" t="s">
        <v>121</v>
      </c>
      <c r="C12" s="2" t="s">
        <v>122</v>
      </c>
      <c r="D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4.25"/>
  <cols>
    <col min="1" max="1" width="20" customWidth="1"/>
    <col min="2" max="2" width="78" customWidth="1"/>
  </cols>
  <sheetData>
    <row r="1" spans="1:2" ht="15">
      <c r="A1" s="28" t="s">
        <v>123</v>
      </c>
      <c r="B1" s="29"/>
    </row>
    <row r="2" spans="1:2" ht="28.5">
      <c r="A2" s="2" t="s">
        <v>124</v>
      </c>
      <c r="B2" s="2" t="s">
        <v>125</v>
      </c>
    </row>
    <row r="3" spans="1:2">
      <c r="A3" s="2" t="s">
        <v>126</v>
      </c>
      <c r="B3" s="2" t="s">
        <v>127</v>
      </c>
    </row>
    <row r="4" spans="1:2">
      <c r="A4" s="2" t="s">
        <v>128</v>
      </c>
      <c r="B4" s="2" t="s">
        <v>129</v>
      </c>
    </row>
    <row r="5" spans="1:2">
      <c r="A5" s="2"/>
      <c r="B5" s="2"/>
    </row>
    <row r="6" spans="1:2" ht="15">
      <c r="A6" s="1" t="s">
        <v>130</v>
      </c>
      <c r="B6" s="1" t="s">
        <v>131</v>
      </c>
    </row>
    <row r="7" spans="1:2">
      <c r="A7" s="2" t="s">
        <v>132</v>
      </c>
      <c r="B7" s="2" t="s">
        <v>133</v>
      </c>
    </row>
    <row r="8" spans="1:2">
      <c r="A8" s="2" t="s">
        <v>134</v>
      </c>
      <c r="B8" s="2" t="s">
        <v>135</v>
      </c>
    </row>
    <row r="9" spans="1:2">
      <c r="A9" s="2" t="s">
        <v>136</v>
      </c>
      <c r="B9" s="2" t="s">
        <v>137</v>
      </c>
    </row>
    <row r="10" spans="1:2">
      <c r="A10" s="2" t="s">
        <v>138</v>
      </c>
      <c r="B10" s="2" t="s">
        <v>139</v>
      </c>
    </row>
    <row r="11" spans="1:2">
      <c r="A11" s="2" t="s">
        <v>140</v>
      </c>
      <c r="B11" s="2" t="s">
        <v>141</v>
      </c>
    </row>
    <row r="12" spans="1:2">
      <c r="A12" s="2" t="s">
        <v>142</v>
      </c>
      <c r="B12" s="2" t="s">
        <v>143</v>
      </c>
    </row>
    <row r="13" spans="1:2">
      <c r="A13" s="2" t="s">
        <v>144</v>
      </c>
      <c r="B13" s="2" t="s">
        <v>145</v>
      </c>
    </row>
    <row r="14" spans="1:2">
      <c r="A14" s="2" t="s">
        <v>146</v>
      </c>
      <c r="B14" s="2" t="s">
        <v>147</v>
      </c>
    </row>
    <row r="15" spans="1:2">
      <c r="A15" s="2" t="s">
        <v>148</v>
      </c>
      <c r="B15" s="2" t="s">
        <v>149</v>
      </c>
    </row>
    <row r="16" spans="1:2" ht="30">
      <c r="A16" s="27" t="s">
        <v>150</v>
      </c>
      <c r="B16" s="27"/>
    </row>
    <row r="17" spans="1:2">
      <c r="A17" s="2" t="s">
        <v>151</v>
      </c>
      <c r="B17" s="2" t="s">
        <v>152</v>
      </c>
    </row>
    <row r="18" spans="1:2">
      <c r="A18" s="2" t="s">
        <v>153</v>
      </c>
      <c r="B18" s="2" t="s">
        <v>154</v>
      </c>
    </row>
    <row r="19" spans="1:2">
      <c r="A19" s="2" t="s">
        <v>155</v>
      </c>
      <c r="B19" s="2" t="s">
        <v>156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/>
  </sheetViews>
  <sheetFormatPr defaultRowHeight="14.25"/>
  <cols>
    <col min="1" max="2" width="17" customWidth="1"/>
    <col min="3" max="4" width="18" customWidth="1"/>
    <col min="5" max="5" width="3" customWidth="1"/>
    <col min="6" max="8" width="24" customWidth="1"/>
  </cols>
  <sheetData>
    <row r="1" spans="1:8" ht="21.95" customHeight="1">
      <c r="A1" s="30" t="s">
        <v>157</v>
      </c>
      <c r="B1" s="30"/>
      <c r="C1" s="30"/>
      <c r="D1" s="30"/>
      <c r="E1" s="30"/>
      <c r="F1" s="30"/>
      <c r="G1" s="30"/>
      <c r="H1" s="30"/>
    </row>
    <row r="2" spans="1:8" ht="21.95" customHeight="1">
      <c r="A2" s="30"/>
      <c r="B2" s="30"/>
      <c r="C2" s="30"/>
      <c r="D2" s="30"/>
      <c r="E2" s="30"/>
      <c r="F2" s="30"/>
      <c r="G2" s="30"/>
      <c r="H2" s="30"/>
    </row>
    <row r="3" spans="1:8" ht="21.95" customHeight="1"/>
    <row r="4" spans="1:8" ht="21.95" customHeight="1">
      <c r="A4" s="31" t="s">
        <v>158</v>
      </c>
      <c r="B4" s="31"/>
      <c r="C4" s="6" t="s">
        <v>20</v>
      </c>
      <c r="F4" s="36" t="s">
        <v>159</v>
      </c>
      <c r="G4" s="36"/>
      <c r="H4" s="36"/>
    </row>
    <row r="5" spans="1:8" ht="24" customHeight="1">
      <c r="F5" s="37" t="str">
        <f ca="1">IF(C8&lt;=-15%,"• Satışlarda "&amp;TEXT(ABS(C8),"0.0%")&amp;" düşüş var."&amp;CHAR(10),"")&amp;IF(C9&gt;=20%,"• Borçlarda "&amp;TEXT(C9,"0.0%")&amp;" artış var."&amp;CHAR(10),"")&amp;IF(C10&gt;=85%,"• Limit kullanım oranı "&amp;TEXT(C10,"0.0%")&amp;" ile yüksek seviyede."&amp;CHAR(10),"")&amp;IF(C11&gt;0,"• Son 3 ayda "&amp;C11&amp;" gecikme yaşanmış; maksimum gecikme "&amp;C12&amp;" gün."&amp;CHAR(10),"")&amp;IF(C13&lt;&gt;"Yeterli","• Teminat durumu: "&amp;C13&amp;"."&amp;CHAR(10),"")&amp;IF(C14&gt;180,"• Finansal verinin üzerinden "&amp;C14&amp;" gün geçmiş."&amp;CHAR(10),"")</f>
        <v xml:space="preserve">• Satışlarda 30% düşüş var.
• Son 3 ayda 1 gecikme yaşanmış; maksimum gecikme 37 gün.
• Finansal verinin üzerinden 233 gün geçmiş.
</v>
      </c>
      <c r="G5" s="37"/>
      <c r="H5" s="37"/>
    </row>
    <row r="6" spans="1:8" ht="24" customHeight="1">
      <c r="A6" s="32" t="s">
        <v>160</v>
      </c>
      <c r="B6" s="32"/>
      <c r="C6" s="33" t="str">
        <f>INDEX(Musteri_Verisi!$B$2:$B$31,MATCH($C$4,Musteri_Verisi!$A$2:$A$31,0))</f>
        <v>Örnek Firma 01</v>
      </c>
      <c r="D6" s="33"/>
      <c r="F6" s="37"/>
      <c r="G6" s="37"/>
      <c r="H6" s="37"/>
    </row>
    <row r="7" spans="1:8" ht="24" customHeight="1">
      <c r="A7" s="32" t="s">
        <v>161</v>
      </c>
      <c r="B7" s="32"/>
      <c r="C7" s="33" t="str">
        <f>INDEX(Musteri_Verisi!$C$2:$C$31,MATCH($C$4,Musteri_Verisi!$A$2:$A$31,0))</f>
        <v>Tekstil</v>
      </c>
      <c r="D7" s="33"/>
      <c r="F7" s="37"/>
      <c r="G7" s="37"/>
      <c r="H7" s="37"/>
    </row>
    <row r="8" spans="1:8" ht="24" customHeight="1">
      <c r="A8" s="32" t="s">
        <v>162</v>
      </c>
      <c r="B8" s="32"/>
      <c r="C8" s="34">
        <f>INDEX(Musteri_Verisi!$O$2:$O$31,MATCH($C$4,Musteri_Verisi!$A$2:$A$31,0))</f>
        <v>-0.30499359090909089</v>
      </c>
      <c r="D8" s="33"/>
      <c r="F8" s="37"/>
      <c r="G8" s="37"/>
      <c r="H8" s="37"/>
    </row>
    <row r="9" spans="1:8" ht="24" customHeight="1">
      <c r="A9" s="32" t="s">
        <v>163</v>
      </c>
      <c r="B9" s="32"/>
      <c r="C9" s="34">
        <f>INDEX(Musteri_Verisi!$P$2:$P$31,MATCH($C$4,Musteri_Verisi!$A$2:$A$31,0))</f>
        <v>-1.8371421052631579E-2</v>
      </c>
      <c r="D9" s="33"/>
      <c r="F9" s="37"/>
      <c r="G9" s="37"/>
      <c r="H9" s="37"/>
    </row>
    <row r="10" spans="1:8" ht="24" customHeight="1">
      <c r="A10" s="32" t="s">
        <v>164</v>
      </c>
      <c r="B10" s="32"/>
      <c r="C10" s="34">
        <f>INDEX(Musteri_Verisi!$Q$2:$Q$31,MATCH($C$4,Musteri_Verisi!$A$2:$A$31,0))</f>
        <v>0.83917692307692304</v>
      </c>
      <c r="D10" s="33"/>
      <c r="F10" s="37"/>
      <c r="G10" s="37"/>
      <c r="H10" s="37"/>
    </row>
    <row r="11" spans="1:8" ht="24" customHeight="1">
      <c r="A11" s="32" t="s">
        <v>165</v>
      </c>
      <c r="B11" s="32"/>
      <c r="C11" s="33">
        <f>INDEX(Musteri_Verisi!$K$2:$K$31,MATCH($C$4,Musteri_Verisi!$A$2:$A$31,0))</f>
        <v>1</v>
      </c>
      <c r="D11" s="33"/>
      <c r="F11" s="37"/>
      <c r="G11" s="37"/>
      <c r="H11" s="37"/>
    </row>
    <row r="12" spans="1:8" ht="24" customHeight="1">
      <c r="A12" s="32" t="s">
        <v>166</v>
      </c>
      <c r="B12" s="32"/>
      <c r="C12" s="33">
        <f>INDEX(Musteri_Verisi!$L$2:$L$31,MATCH($C$4,Musteri_Verisi!$A$2:$A$31,0))</f>
        <v>37</v>
      </c>
      <c r="D12" s="33"/>
      <c r="F12" s="37"/>
      <c r="G12" s="37"/>
      <c r="H12" s="37"/>
    </row>
    <row r="13" spans="1:8" ht="24" customHeight="1">
      <c r="A13" s="32" t="s">
        <v>167</v>
      </c>
      <c r="B13" s="32"/>
      <c r="C13" s="33" t="str">
        <f>INDEX(Musteri_Verisi!$M$2:$M$31,MATCH($C$4,Musteri_Verisi!$A$2:$A$31,0))</f>
        <v>Yeterli</v>
      </c>
      <c r="D13" s="33"/>
      <c r="F13" s="37"/>
      <c r="G13" s="37"/>
      <c r="H13" s="37"/>
    </row>
    <row r="14" spans="1:8" ht="24" customHeight="1">
      <c r="A14" s="32" t="s">
        <v>168</v>
      </c>
      <c r="B14" s="32"/>
      <c r="C14" s="35">
        <f ca="1">INDEX(Musteri_Verisi!$R$2:$R$31,MATCH($C$4,Musteri_Verisi!$A$2:$A$31,0))</f>
        <v>233</v>
      </c>
      <c r="D14" s="33"/>
      <c r="F14" s="37"/>
      <c r="G14" s="37"/>
      <c r="H14" s="37"/>
    </row>
    <row r="15" spans="1:8" ht="21.95" customHeight="1">
      <c r="A15" s="32" t="s">
        <v>94</v>
      </c>
      <c r="B15" s="32"/>
      <c r="C15" s="33">
        <f ca="1">INDEX(Musteri_Verisi!$S$2:$S$31,MATCH($C$4,Musteri_Verisi!$A$2:$A$31,0))</f>
        <v>4</v>
      </c>
      <c r="D15" s="33"/>
    </row>
    <row r="16" spans="1:8" ht="21.95" customHeight="1">
      <c r="A16" s="32" t="s">
        <v>169</v>
      </c>
      <c r="B16" s="32"/>
      <c r="C16" s="33" t="str">
        <f ca="1">INDEX(Musteri_Verisi!$T$2:$T$31,MATCH($C$4,Musteri_Verisi!$A$2:$A$31,0))</f>
        <v>İncelenmeli</v>
      </c>
      <c r="D16" s="33"/>
      <c r="F16" s="38" t="s">
        <v>169</v>
      </c>
      <c r="G16" s="38"/>
      <c r="H16" s="38"/>
    </row>
    <row r="17" spans="1:8" ht="21.95" customHeight="1">
      <c r="F17" s="39" t="str">
        <f ca="1">C16</f>
        <v>İncelenmeli</v>
      </c>
      <c r="G17" s="39"/>
      <c r="H17" s="39"/>
    </row>
    <row r="18" spans="1:8" ht="21.95" customHeight="1">
      <c r="F18" s="39"/>
      <c r="G18" s="39"/>
      <c r="H18" s="39"/>
    </row>
    <row r="19" spans="1:8" ht="21.95" customHeight="1"/>
    <row r="20" spans="1:8" ht="21.95" customHeight="1">
      <c r="A20" s="40" t="s">
        <v>170</v>
      </c>
      <c r="B20" s="40"/>
      <c r="C20" s="40"/>
      <c r="D20" s="40"/>
      <c r="E20" s="40"/>
      <c r="F20" s="40"/>
      <c r="G20" s="40"/>
      <c r="H20" s="40"/>
    </row>
    <row r="21" spans="1:8" ht="21.95" customHeight="1">
      <c r="A21" s="40"/>
      <c r="B21" s="40"/>
      <c r="C21" s="40"/>
      <c r="D21" s="40"/>
      <c r="E21" s="40"/>
      <c r="F21" s="40"/>
      <c r="G21" s="40"/>
      <c r="H21" s="40"/>
    </row>
    <row r="22" spans="1:8" ht="21.95" customHeight="1">
      <c r="A22" s="40"/>
      <c r="B22" s="40"/>
      <c r="C22" s="40"/>
      <c r="D22" s="40"/>
      <c r="E22" s="40"/>
      <c r="F22" s="40"/>
      <c r="G22" s="40"/>
      <c r="H22" s="40"/>
    </row>
  </sheetData>
  <mergeCells count="29">
    <mergeCell ref="F16:H16"/>
    <mergeCell ref="F17:H18"/>
    <mergeCell ref="A20:H22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1:H2"/>
    <mergeCell ref="A4:B4"/>
    <mergeCell ref="A6:B6"/>
    <mergeCell ref="C6:D6"/>
    <mergeCell ref="A7:B7"/>
    <mergeCell ref="C7:D7"/>
    <mergeCell ref="F4:H4"/>
    <mergeCell ref="F5:H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Musteri_Verisi!$A$2:$A$31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1"/>
  <sheetViews>
    <sheetView workbookViewId="0"/>
  </sheetViews>
  <sheetFormatPr defaultRowHeight="14.25"/>
  <cols>
    <col min="1" max="2" width="12" customWidth="1"/>
    <col min="3" max="5" width="18" customWidth="1"/>
    <col min="6" max="7" width="19" customWidth="1"/>
  </cols>
  <sheetData>
    <row r="1" spans="1:7" ht="15">
      <c r="A1" s="8" t="s">
        <v>0</v>
      </c>
      <c r="B1" s="9" t="s">
        <v>171</v>
      </c>
      <c r="C1" s="9" t="s">
        <v>172</v>
      </c>
      <c r="D1" s="9" t="s">
        <v>173</v>
      </c>
      <c r="E1" s="9" t="s">
        <v>16</v>
      </c>
      <c r="F1" s="9" t="s">
        <v>174</v>
      </c>
      <c r="G1" s="10" t="s">
        <v>11</v>
      </c>
    </row>
    <row r="2" spans="1:7">
      <c r="A2" s="11" t="s">
        <v>20</v>
      </c>
      <c r="B2" t="s">
        <v>175</v>
      </c>
      <c r="C2" s="16">
        <v>16513352</v>
      </c>
      <c r="D2" s="16">
        <v>16785849</v>
      </c>
      <c r="E2" s="7">
        <v>0.73919999999999997</v>
      </c>
      <c r="F2">
        <v>0</v>
      </c>
      <c r="G2" s="12">
        <v>25</v>
      </c>
    </row>
    <row r="3" spans="1:7">
      <c r="A3" s="11" t="s">
        <v>20</v>
      </c>
      <c r="B3" t="s">
        <v>176</v>
      </c>
      <c r="C3" s="16">
        <v>16054648</v>
      </c>
      <c r="D3" s="16">
        <v>17531886</v>
      </c>
      <c r="E3" s="7">
        <v>0.7792</v>
      </c>
      <c r="F3">
        <v>0</v>
      </c>
      <c r="G3" s="12">
        <v>29</v>
      </c>
    </row>
    <row r="4" spans="1:7">
      <c r="A4" s="11" t="s">
        <v>20</v>
      </c>
      <c r="B4" t="s">
        <v>177</v>
      </c>
      <c r="C4" s="16">
        <v>15595944</v>
      </c>
      <c r="D4" s="16">
        <v>18091415</v>
      </c>
      <c r="E4" s="7">
        <v>0.80920000000000003</v>
      </c>
      <c r="F4">
        <v>1</v>
      </c>
      <c r="G4" s="12">
        <v>33</v>
      </c>
    </row>
    <row r="5" spans="1:7">
      <c r="A5" s="11" t="s">
        <v>20</v>
      </c>
      <c r="B5" t="s">
        <v>178</v>
      </c>
      <c r="C5" s="16">
        <v>15290141</v>
      </c>
      <c r="D5" s="16">
        <v>18650943</v>
      </c>
      <c r="E5" s="7">
        <v>0.83919999999999995</v>
      </c>
      <c r="F5">
        <v>1</v>
      </c>
      <c r="G5" s="12">
        <v>37</v>
      </c>
    </row>
    <row r="6" spans="1:7">
      <c r="A6" s="11" t="s">
        <v>24</v>
      </c>
      <c r="B6" t="s">
        <v>175</v>
      </c>
      <c r="C6" s="16">
        <v>18186717</v>
      </c>
      <c r="D6" s="16">
        <v>33939226</v>
      </c>
      <c r="E6" s="7">
        <v>0.20910000000000001</v>
      </c>
      <c r="F6">
        <v>0</v>
      </c>
      <c r="G6" s="12">
        <v>13</v>
      </c>
    </row>
    <row r="7" spans="1:7">
      <c r="A7" s="11" t="s">
        <v>24</v>
      </c>
      <c r="B7" t="s">
        <v>176</v>
      </c>
      <c r="C7" s="16">
        <v>17261969</v>
      </c>
      <c r="D7" s="16">
        <v>36422584</v>
      </c>
      <c r="E7" s="7">
        <v>0.27910000000000001</v>
      </c>
      <c r="F7">
        <v>0</v>
      </c>
      <c r="G7" s="12">
        <v>22</v>
      </c>
    </row>
    <row r="8" spans="1:7">
      <c r="A8" s="11" t="s">
        <v>24</v>
      </c>
      <c r="B8" t="s">
        <v>177</v>
      </c>
      <c r="C8" s="16">
        <v>16337220</v>
      </c>
      <c r="D8" s="16">
        <v>38905942</v>
      </c>
      <c r="E8" s="7">
        <v>0.34910000000000002</v>
      </c>
      <c r="F8">
        <v>0</v>
      </c>
      <c r="G8" s="12">
        <v>30</v>
      </c>
    </row>
    <row r="9" spans="1:7">
      <c r="A9" s="11" t="s">
        <v>24</v>
      </c>
      <c r="B9" t="s">
        <v>178</v>
      </c>
      <c r="C9" s="16">
        <v>15412472</v>
      </c>
      <c r="D9" s="16">
        <v>41389300</v>
      </c>
      <c r="E9" s="7">
        <v>0.40910000000000002</v>
      </c>
      <c r="F9">
        <v>1</v>
      </c>
      <c r="G9" s="12">
        <v>37</v>
      </c>
    </row>
    <row r="10" spans="1:7">
      <c r="A10" s="11" t="s">
        <v>27</v>
      </c>
      <c r="B10" t="s">
        <v>175</v>
      </c>
      <c r="C10" s="16">
        <v>8400000</v>
      </c>
      <c r="D10" s="16">
        <v>14800000</v>
      </c>
      <c r="E10" s="7">
        <v>0.45</v>
      </c>
      <c r="F10">
        <v>0</v>
      </c>
      <c r="G10" s="12">
        <v>0</v>
      </c>
    </row>
    <row r="11" spans="1:7">
      <c r="A11" s="11" t="s">
        <v>27</v>
      </c>
      <c r="B11" t="s">
        <v>176</v>
      </c>
      <c r="C11" s="16">
        <v>8600000</v>
      </c>
      <c r="D11" s="16">
        <v>15000000</v>
      </c>
      <c r="E11" s="7">
        <v>0.46</v>
      </c>
      <c r="F11">
        <v>0</v>
      </c>
      <c r="G11" s="12">
        <v>0</v>
      </c>
    </row>
    <row r="12" spans="1:7">
      <c r="A12" s="11" t="s">
        <v>27</v>
      </c>
      <c r="B12" t="s">
        <v>177</v>
      </c>
      <c r="C12" s="16">
        <v>8850000</v>
      </c>
      <c r="D12" s="16">
        <v>15200000</v>
      </c>
      <c r="E12" s="7">
        <v>0.46800000000000003</v>
      </c>
      <c r="F12">
        <v>0</v>
      </c>
      <c r="G12" s="12">
        <v>0</v>
      </c>
    </row>
    <row r="13" spans="1:7">
      <c r="A13" s="11" t="s">
        <v>27</v>
      </c>
      <c r="B13" t="s">
        <v>178</v>
      </c>
      <c r="C13" s="16">
        <v>9082275</v>
      </c>
      <c r="D13" s="16">
        <v>15369264</v>
      </c>
      <c r="E13" s="7">
        <v>0.4723</v>
      </c>
      <c r="F13">
        <v>0</v>
      </c>
      <c r="G13" s="12">
        <v>0</v>
      </c>
    </row>
    <row r="14" spans="1:7">
      <c r="A14" s="11" t="s">
        <v>31</v>
      </c>
      <c r="B14" t="s">
        <v>175</v>
      </c>
      <c r="C14" s="16">
        <v>19340372</v>
      </c>
      <c r="D14" s="16">
        <v>26318718</v>
      </c>
      <c r="E14" s="7">
        <v>0.73380000000000001</v>
      </c>
      <c r="F14">
        <v>0</v>
      </c>
      <c r="G14" s="12">
        <v>15</v>
      </c>
    </row>
    <row r="15" spans="1:7">
      <c r="A15" s="11" t="s">
        <v>31</v>
      </c>
      <c r="B15" t="s">
        <v>176</v>
      </c>
      <c r="C15" s="16">
        <v>18803140</v>
      </c>
      <c r="D15" s="16">
        <v>27488439</v>
      </c>
      <c r="E15" s="7">
        <v>0.77380000000000004</v>
      </c>
      <c r="F15">
        <v>0</v>
      </c>
      <c r="G15" s="12">
        <v>19</v>
      </c>
    </row>
    <row r="16" spans="1:7">
      <c r="A16" s="11" t="s">
        <v>31</v>
      </c>
      <c r="B16" t="s">
        <v>177</v>
      </c>
      <c r="C16" s="16">
        <v>18265907</v>
      </c>
      <c r="D16" s="16">
        <v>28365729</v>
      </c>
      <c r="E16" s="7">
        <v>0.80379999999999996</v>
      </c>
      <c r="F16">
        <v>1</v>
      </c>
      <c r="G16" s="12">
        <v>23</v>
      </c>
    </row>
    <row r="17" spans="1:7">
      <c r="A17" s="11" t="s">
        <v>31</v>
      </c>
      <c r="B17" t="s">
        <v>178</v>
      </c>
      <c r="C17" s="16">
        <v>17907752</v>
      </c>
      <c r="D17" s="16">
        <v>29243020</v>
      </c>
      <c r="E17" s="7">
        <v>0.83379999999999999</v>
      </c>
      <c r="F17">
        <v>1</v>
      </c>
      <c r="G17" s="12">
        <v>27</v>
      </c>
    </row>
    <row r="18" spans="1:7">
      <c r="A18" s="11" t="s">
        <v>34</v>
      </c>
      <c r="B18" t="s">
        <v>175</v>
      </c>
      <c r="C18" s="16">
        <v>34582023</v>
      </c>
      <c r="D18" s="16">
        <v>4975478</v>
      </c>
      <c r="E18" s="7">
        <v>0.47149999999999997</v>
      </c>
      <c r="F18">
        <v>0</v>
      </c>
      <c r="G18" s="12">
        <v>0</v>
      </c>
    </row>
    <row r="19" spans="1:7">
      <c r="A19" s="11" t="s">
        <v>34</v>
      </c>
      <c r="B19" t="s">
        <v>176</v>
      </c>
      <c r="C19" s="16">
        <v>34934901</v>
      </c>
      <c r="D19" s="16">
        <v>5025735</v>
      </c>
      <c r="E19" s="7">
        <v>0.48149999999999998</v>
      </c>
      <c r="F19">
        <v>0</v>
      </c>
      <c r="G19" s="12">
        <v>0</v>
      </c>
    </row>
    <row r="20" spans="1:7">
      <c r="A20" s="11" t="s">
        <v>34</v>
      </c>
      <c r="B20" t="s">
        <v>177</v>
      </c>
      <c r="C20" s="16">
        <v>35287779</v>
      </c>
      <c r="D20" s="16">
        <v>5025735</v>
      </c>
      <c r="E20" s="7">
        <v>0.48149999999999998</v>
      </c>
      <c r="F20">
        <v>0</v>
      </c>
      <c r="G20" s="12">
        <v>0</v>
      </c>
    </row>
    <row r="21" spans="1:7">
      <c r="A21" s="11" t="s">
        <v>34</v>
      </c>
      <c r="B21" t="s">
        <v>178</v>
      </c>
      <c r="C21" s="16">
        <v>35287779</v>
      </c>
      <c r="D21" s="16">
        <v>5025735</v>
      </c>
      <c r="E21" s="7">
        <v>0.48149999999999998</v>
      </c>
      <c r="F21">
        <v>0</v>
      </c>
      <c r="G21" s="12">
        <v>0</v>
      </c>
    </row>
    <row r="22" spans="1:7">
      <c r="A22" s="11" t="s">
        <v>37</v>
      </c>
      <c r="B22" t="s">
        <v>175</v>
      </c>
      <c r="C22" s="16">
        <v>65849917</v>
      </c>
      <c r="D22" s="16">
        <v>24342982</v>
      </c>
      <c r="E22" s="7">
        <v>0.45760000000000001</v>
      </c>
      <c r="F22">
        <v>0</v>
      </c>
      <c r="G22" s="12">
        <v>0</v>
      </c>
    </row>
    <row r="23" spans="1:7">
      <c r="A23" s="11" t="s">
        <v>37</v>
      </c>
      <c r="B23" t="s">
        <v>176</v>
      </c>
      <c r="C23" s="16">
        <v>67250979</v>
      </c>
      <c r="D23" s="16">
        <v>23879306</v>
      </c>
      <c r="E23" s="7">
        <v>0.4476</v>
      </c>
      <c r="F23">
        <v>0</v>
      </c>
      <c r="G23" s="12">
        <v>0</v>
      </c>
    </row>
    <row r="24" spans="1:7">
      <c r="A24" s="11" t="s">
        <v>37</v>
      </c>
      <c r="B24" t="s">
        <v>177</v>
      </c>
      <c r="C24" s="16">
        <v>68652041</v>
      </c>
      <c r="D24" s="16">
        <v>23415630</v>
      </c>
      <c r="E24" s="7">
        <v>0.42759999999999998</v>
      </c>
      <c r="F24">
        <v>0</v>
      </c>
      <c r="G24" s="12">
        <v>0</v>
      </c>
    </row>
    <row r="25" spans="1:7">
      <c r="A25" s="11" t="s">
        <v>37</v>
      </c>
      <c r="B25" t="s">
        <v>178</v>
      </c>
      <c r="C25" s="16">
        <v>70053103</v>
      </c>
      <c r="D25" s="16">
        <v>23183792</v>
      </c>
      <c r="E25" s="7">
        <v>0.41760000000000003</v>
      </c>
      <c r="F25">
        <v>0</v>
      </c>
      <c r="G25" s="12">
        <v>0</v>
      </c>
    </row>
    <row r="26" spans="1:7">
      <c r="A26" s="11" t="s">
        <v>40</v>
      </c>
      <c r="B26" t="s">
        <v>175</v>
      </c>
      <c r="C26" s="16">
        <v>75231507</v>
      </c>
      <c r="D26" s="16">
        <v>14196038</v>
      </c>
      <c r="E26" s="7">
        <v>0.36599999999999999</v>
      </c>
      <c r="F26">
        <v>2</v>
      </c>
      <c r="G26" s="12">
        <v>26</v>
      </c>
    </row>
    <row r="27" spans="1:7">
      <c r="A27" s="11" t="s">
        <v>40</v>
      </c>
      <c r="B27" t="s">
        <v>176</v>
      </c>
      <c r="C27" s="16">
        <v>73141743</v>
      </c>
      <c r="D27" s="16">
        <v>14826972</v>
      </c>
      <c r="E27" s="7">
        <v>0.40600000000000003</v>
      </c>
      <c r="F27">
        <v>2</v>
      </c>
      <c r="G27" s="12">
        <v>30</v>
      </c>
    </row>
    <row r="28" spans="1:7">
      <c r="A28" s="11" t="s">
        <v>40</v>
      </c>
      <c r="B28" t="s">
        <v>177</v>
      </c>
      <c r="C28" s="16">
        <v>71051979</v>
      </c>
      <c r="D28" s="16">
        <v>15300174</v>
      </c>
      <c r="E28" s="7">
        <v>0.436</v>
      </c>
      <c r="F28">
        <v>3</v>
      </c>
      <c r="G28" s="12">
        <v>34</v>
      </c>
    </row>
    <row r="29" spans="1:7">
      <c r="A29" s="11" t="s">
        <v>40</v>
      </c>
      <c r="B29" t="s">
        <v>178</v>
      </c>
      <c r="C29" s="16">
        <v>69658803</v>
      </c>
      <c r="D29" s="16">
        <v>15773375</v>
      </c>
      <c r="E29" s="7">
        <v>0.46600000000000003</v>
      </c>
      <c r="F29">
        <v>3</v>
      </c>
      <c r="G29" s="12">
        <v>38</v>
      </c>
    </row>
    <row r="30" spans="1:7">
      <c r="A30" s="11" t="s">
        <v>42</v>
      </c>
      <c r="B30" t="s">
        <v>175</v>
      </c>
      <c r="C30" s="16">
        <v>15072835</v>
      </c>
      <c r="D30" s="16">
        <v>24220028</v>
      </c>
      <c r="E30" s="7">
        <v>0.88049999999999995</v>
      </c>
      <c r="F30">
        <v>0</v>
      </c>
      <c r="G30" s="12">
        <v>11</v>
      </c>
    </row>
    <row r="31" spans="1:7">
      <c r="A31" s="11" t="s">
        <v>42</v>
      </c>
      <c r="B31" t="s">
        <v>176</v>
      </c>
      <c r="C31" s="16">
        <v>14654145</v>
      </c>
      <c r="D31" s="16">
        <v>25296473</v>
      </c>
      <c r="E31" s="7">
        <v>0.92049999999999998</v>
      </c>
      <c r="F31">
        <v>0</v>
      </c>
      <c r="G31" s="12">
        <v>15</v>
      </c>
    </row>
    <row r="32" spans="1:7">
      <c r="A32" s="11" t="s">
        <v>42</v>
      </c>
      <c r="B32" t="s">
        <v>177</v>
      </c>
      <c r="C32" s="16">
        <v>14235456</v>
      </c>
      <c r="D32" s="16">
        <v>26103808</v>
      </c>
      <c r="E32" s="7">
        <v>0.95050000000000001</v>
      </c>
      <c r="F32">
        <v>1</v>
      </c>
      <c r="G32" s="12">
        <v>19</v>
      </c>
    </row>
    <row r="33" spans="1:7">
      <c r="A33" s="11" t="s">
        <v>42</v>
      </c>
      <c r="B33" t="s">
        <v>178</v>
      </c>
      <c r="C33" s="16">
        <v>13956329</v>
      </c>
      <c r="D33" s="16">
        <v>26911142</v>
      </c>
      <c r="E33" s="7">
        <v>0.98050000000000004</v>
      </c>
      <c r="F33">
        <v>1</v>
      </c>
      <c r="G33" s="12">
        <v>23</v>
      </c>
    </row>
    <row r="34" spans="1:7">
      <c r="A34" s="11" t="s">
        <v>44</v>
      </c>
      <c r="B34" t="s">
        <v>175</v>
      </c>
      <c r="C34" s="16">
        <v>59634503</v>
      </c>
      <c r="D34" s="16">
        <v>8058748</v>
      </c>
      <c r="E34" s="7">
        <v>0.48120000000000002</v>
      </c>
      <c r="F34">
        <v>0</v>
      </c>
      <c r="G34" s="12">
        <v>6</v>
      </c>
    </row>
    <row r="35" spans="1:7">
      <c r="A35" s="11" t="s">
        <v>44</v>
      </c>
      <c r="B35" t="s">
        <v>176</v>
      </c>
      <c r="C35" s="16">
        <v>56602240</v>
      </c>
      <c r="D35" s="16">
        <v>8648412</v>
      </c>
      <c r="E35" s="7">
        <v>0.55120000000000002</v>
      </c>
      <c r="F35">
        <v>0</v>
      </c>
      <c r="G35" s="12">
        <v>15</v>
      </c>
    </row>
    <row r="36" spans="1:7">
      <c r="A36" s="11" t="s">
        <v>44</v>
      </c>
      <c r="B36" t="s">
        <v>177</v>
      </c>
      <c r="C36" s="16">
        <v>53569977</v>
      </c>
      <c r="D36" s="16">
        <v>9238077</v>
      </c>
      <c r="E36" s="7">
        <v>0.62119999999999997</v>
      </c>
      <c r="F36">
        <v>0</v>
      </c>
      <c r="G36" s="12">
        <v>23</v>
      </c>
    </row>
    <row r="37" spans="1:7">
      <c r="A37" s="11" t="s">
        <v>44</v>
      </c>
      <c r="B37" t="s">
        <v>178</v>
      </c>
      <c r="C37" s="16">
        <v>50537714</v>
      </c>
      <c r="D37" s="16">
        <v>9827741</v>
      </c>
      <c r="E37" s="7">
        <v>0.68120000000000003</v>
      </c>
      <c r="F37">
        <v>1</v>
      </c>
      <c r="G37" s="12">
        <v>30</v>
      </c>
    </row>
    <row r="38" spans="1:7">
      <c r="A38" s="11" t="s">
        <v>46</v>
      </c>
      <c r="B38" t="s">
        <v>175</v>
      </c>
      <c r="C38" s="16">
        <v>26614326</v>
      </c>
      <c r="D38" s="16">
        <v>8308542</v>
      </c>
      <c r="E38" s="7">
        <v>0.27229999999999999</v>
      </c>
      <c r="F38">
        <v>0</v>
      </c>
      <c r="G38" s="12">
        <v>0</v>
      </c>
    </row>
    <row r="39" spans="1:7">
      <c r="A39" s="11" t="s">
        <v>46</v>
      </c>
      <c r="B39" t="s">
        <v>176</v>
      </c>
      <c r="C39" s="16">
        <v>25875039</v>
      </c>
      <c r="D39" s="16">
        <v>8677810</v>
      </c>
      <c r="E39" s="7">
        <v>0.31230000000000002</v>
      </c>
      <c r="F39">
        <v>0</v>
      </c>
      <c r="G39" s="12">
        <v>0</v>
      </c>
    </row>
    <row r="40" spans="1:7">
      <c r="A40" s="11" t="s">
        <v>46</v>
      </c>
      <c r="B40" t="s">
        <v>177</v>
      </c>
      <c r="C40" s="16">
        <v>25135752</v>
      </c>
      <c r="D40" s="16">
        <v>8954762</v>
      </c>
      <c r="E40" s="7">
        <v>0.34229999999999999</v>
      </c>
      <c r="F40">
        <v>0</v>
      </c>
      <c r="G40" s="12">
        <v>0</v>
      </c>
    </row>
    <row r="41" spans="1:7">
      <c r="A41" s="11" t="s">
        <v>46</v>
      </c>
      <c r="B41" t="s">
        <v>178</v>
      </c>
      <c r="C41" s="16">
        <v>24642894</v>
      </c>
      <c r="D41" s="16">
        <v>9231713</v>
      </c>
      <c r="E41" s="7">
        <v>0.37230000000000002</v>
      </c>
      <c r="F41">
        <v>0</v>
      </c>
      <c r="G41" s="12">
        <v>0</v>
      </c>
    </row>
    <row r="42" spans="1:7">
      <c r="A42" s="11" t="s">
        <v>48</v>
      </c>
      <c r="B42" t="s">
        <v>175</v>
      </c>
      <c r="C42" s="16">
        <v>62749999</v>
      </c>
      <c r="D42" s="16">
        <v>32621111</v>
      </c>
      <c r="E42" s="7">
        <v>0.83860000000000001</v>
      </c>
      <c r="F42">
        <v>0</v>
      </c>
      <c r="G42" s="12">
        <v>0</v>
      </c>
    </row>
    <row r="43" spans="1:7">
      <c r="A43" s="11" t="s">
        <v>48</v>
      </c>
      <c r="B43" t="s">
        <v>176</v>
      </c>
      <c r="C43" s="16">
        <v>61006944</v>
      </c>
      <c r="D43" s="16">
        <v>34070938</v>
      </c>
      <c r="E43" s="7">
        <v>0.87860000000000005</v>
      </c>
      <c r="F43">
        <v>0</v>
      </c>
      <c r="G43" s="12">
        <v>0</v>
      </c>
    </row>
    <row r="44" spans="1:7">
      <c r="A44" s="11" t="s">
        <v>48</v>
      </c>
      <c r="B44" t="s">
        <v>177</v>
      </c>
      <c r="C44" s="16">
        <v>59263888</v>
      </c>
      <c r="D44" s="16">
        <v>35158309</v>
      </c>
      <c r="E44" s="7">
        <v>0.90859999999999996</v>
      </c>
      <c r="F44">
        <v>0</v>
      </c>
      <c r="G44" s="12">
        <v>0</v>
      </c>
    </row>
    <row r="45" spans="1:7">
      <c r="A45" s="11" t="s">
        <v>48</v>
      </c>
      <c r="B45" t="s">
        <v>178</v>
      </c>
      <c r="C45" s="16">
        <v>58101851</v>
      </c>
      <c r="D45" s="16">
        <v>36245679</v>
      </c>
      <c r="E45" s="7">
        <v>0.93859999999999999</v>
      </c>
      <c r="F45">
        <v>0</v>
      </c>
      <c r="G45" s="12">
        <v>0</v>
      </c>
    </row>
    <row r="46" spans="1:7">
      <c r="A46" s="11" t="s">
        <v>50</v>
      </c>
      <c r="B46" t="s">
        <v>175</v>
      </c>
      <c r="C46" s="16">
        <v>85935033</v>
      </c>
      <c r="D46" s="16">
        <v>19925011</v>
      </c>
      <c r="E46" s="7">
        <v>0.15260000000000001</v>
      </c>
      <c r="F46">
        <v>0</v>
      </c>
      <c r="G46" s="12">
        <v>7</v>
      </c>
    </row>
    <row r="47" spans="1:7">
      <c r="A47" s="11" t="s">
        <v>50</v>
      </c>
      <c r="B47" t="s">
        <v>176</v>
      </c>
      <c r="C47" s="16">
        <v>83547949</v>
      </c>
      <c r="D47" s="16">
        <v>20810567</v>
      </c>
      <c r="E47" s="7">
        <v>0.19259999999999999</v>
      </c>
      <c r="F47">
        <v>0</v>
      </c>
      <c r="G47" s="12">
        <v>11</v>
      </c>
    </row>
    <row r="48" spans="1:7">
      <c r="A48" s="11" t="s">
        <v>50</v>
      </c>
      <c r="B48" t="s">
        <v>177</v>
      </c>
      <c r="C48" s="16">
        <v>81160864</v>
      </c>
      <c r="D48" s="16">
        <v>21474734</v>
      </c>
      <c r="E48" s="7">
        <v>0.22259999999999999</v>
      </c>
      <c r="F48">
        <v>1</v>
      </c>
      <c r="G48" s="12">
        <v>15</v>
      </c>
    </row>
    <row r="49" spans="1:7">
      <c r="A49" s="11" t="s">
        <v>50</v>
      </c>
      <c r="B49" t="s">
        <v>178</v>
      </c>
      <c r="C49" s="16">
        <v>79569475</v>
      </c>
      <c r="D49" s="16">
        <v>22138901</v>
      </c>
      <c r="E49" s="7">
        <v>0.25259999999999999</v>
      </c>
      <c r="F49">
        <v>1</v>
      </c>
      <c r="G49" s="12">
        <v>19</v>
      </c>
    </row>
    <row r="50" spans="1:7">
      <c r="A50" s="11" t="s">
        <v>53</v>
      </c>
      <c r="B50" t="s">
        <v>175</v>
      </c>
      <c r="C50" s="16">
        <v>27268416</v>
      </c>
      <c r="D50" s="16">
        <v>25996983</v>
      </c>
      <c r="E50" s="7">
        <v>0.63719999999999999</v>
      </c>
      <c r="F50">
        <v>0</v>
      </c>
      <c r="G50" s="12">
        <v>0</v>
      </c>
    </row>
    <row r="51" spans="1:7">
      <c r="A51" s="11" t="s">
        <v>53</v>
      </c>
      <c r="B51" t="s">
        <v>176</v>
      </c>
      <c r="C51" s="16">
        <v>26510960</v>
      </c>
      <c r="D51" s="16">
        <v>27152405</v>
      </c>
      <c r="E51" s="7">
        <v>0.67720000000000002</v>
      </c>
      <c r="F51">
        <v>0</v>
      </c>
      <c r="G51" s="12">
        <v>0</v>
      </c>
    </row>
    <row r="52" spans="1:7">
      <c r="A52" s="11" t="s">
        <v>53</v>
      </c>
      <c r="B52" t="s">
        <v>177</v>
      </c>
      <c r="C52" s="16">
        <v>25753504</v>
      </c>
      <c r="D52" s="16">
        <v>28018971</v>
      </c>
      <c r="E52" s="7">
        <v>0.70720000000000005</v>
      </c>
      <c r="F52">
        <v>0</v>
      </c>
      <c r="G52" s="12">
        <v>0</v>
      </c>
    </row>
    <row r="53" spans="1:7">
      <c r="A53" s="11" t="s">
        <v>53</v>
      </c>
      <c r="B53" t="s">
        <v>178</v>
      </c>
      <c r="C53" s="16">
        <v>25248533</v>
      </c>
      <c r="D53" s="16">
        <v>28885537</v>
      </c>
      <c r="E53" s="7">
        <v>0.73719999999999997</v>
      </c>
      <c r="F53">
        <v>0</v>
      </c>
      <c r="G53" s="12">
        <v>0</v>
      </c>
    </row>
    <row r="54" spans="1:7">
      <c r="A54" s="11" t="s">
        <v>55</v>
      </c>
      <c r="B54" t="s">
        <v>175</v>
      </c>
      <c r="C54" s="16">
        <v>46731307</v>
      </c>
      <c r="D54" s="16">
        <v>12769857</v>
      </c>
      <c r="E54" s="7">
        <v>0.43159999999999998</v>
      </c>
      <c r="F54">
        <v>0</v>
      </c>
      <c r="G54" s="12">
        <v>0</v>
      </c>
    </row>
    <row r="55" spans="1:7">
      <c r="A55" s="11" t="s">
        <v>55</v>
      </c>
      <c r="B55" t="s">
        <v>176</v>
      </c>
      <c r="C55" s="16">
        <v>47208157</v>
      </c>
      <c r="D55" s="16">
        <v>12898845</v>
      </c>
      <c r="E55" s="7">
        <v>0.44159999999999999</v>
      </c>
      <c r="F55">
        <v>0</v>
      </c>
      <c r="G55" s="12">
        <v>0</v>
      </c>
    </row>
    <row r="56" spans="1:7">
      <c r="A56" s="11" t="s">
        <v>55</v>
      </c>
      <c r="B56" t="s">
        <v>177</v>
      </c>
      <c r="C56" s="16">
        <v>47685007</v>
      </c>
      <c r="D56" s="16">
        <v>12898845</v>
      </c>
      <c r="E56" s="7">
        <v>0.44159999999999999</v>
      </c>
      <c r="F56">
        <v>0</v>
      </c>
      <c r="G56" s="12">
        <v>0</v>
      </c>
    </row>
    <row r="57" spans="1:7">
      <c r="A57" s="11" t="s">
        <v>55</v>
      </c>
      <c r="B57" t="s">
        <v>178</v>
      </c>
      <c r="C57" s="16">
        <v>47685007</v>
      </c>
      <c r="D57" s="16">
        <v>12898845</v>
      </c>
      <c r="E57" s="7">
        <v>0.44159999999999999</v>
      </c>
      <c r="F57">
        <v>0</v>
      </c>
      <c r="G57" s="12">
        <v>0</v>
      </c>
    </row>
    <row r="58" spans="1:7">
      <c r="A58" s="11" t="s">
        <v>57</v>
      </c>
      <c r="B58" t="s">
        <v>175</v>
      </c>
      <c r="C58" s="16">
        <v>88422814</v>
      </c>
      <c r="D58" s="16">
        <v>42944603</v>
      </c>
      <c r="E58" s="7">
        <v>0.67779999999999996</v>
      </c>
      <c r="F58">
        <v>2</v>
      </c>
      <c r="G58" s="12">
        <v>1</v>
      </c>
    </row>
    <row r="59" spans="1:7">
      <c r="A59" s="11" t="s">
        <v>57</v>
      </c>
      <c r="B59" t="s">
        <v>176</v>
      </c>
      <c r="C59" s="16">
        <v>85966625</v>
      </c>
      <c r="D59" s="16">
        <v>44853252</v>
      </c>
      <c r="E59" s="7">
        <v>0.71779999999999999</v>
      </c>
      <c r="F59">
        <v>2</v>
      </c>
      <c r="G59" s="12">
        <v>5</v>
      </c>
    </row>
    <row r="60" spans="1:7">
      <c r="A60" s="11" t="s">
        <v>57</v>
      </c>
      <c r="B60" t="s">
        <v>177</v>
      </c>
      <c r="C60" s="16">
        <v>83510436</v>
      </c>
      <c r="D60" s="16">
        <v>46284739</v>
      </c>
      <c r="E60" s="7">
        <v>0.74780000000000002</v>
      </c>
      <c r="F60">
        <v>3</v>
      </c>
      <c r="G60" s="12">
        <v>9</v>
      </c>
    </row>
    <row r="61" spans="1:7">
      <c r="A61" s="11" t="s">
        <v>57</v>
      </c>
      <c r="B61" t="s">
        <v>178</v>
      </c>
      <c r="C61" s="16">
        <v>81872976</v>
      </c>
      <c r="D61" s="16">
        <v>47716226</v>
      </c>
      <c r="E61" s="7">
        <v>0.77780000000000005</v>
      </c>
      <c r="F61">
        <v>3</v>
      </c>
      <c r="G61" s="12">
        <v>13</v>
      </c>
    </row>
    <row r="62" spans="1:7">
      <c r="A62" s="11" t="s">
        <v>59</v>
      </c>
      <c r="B62" t="s">
        <v>175</v>
      </c>
      <c r="C62" s="16">
        <v>102958837</v>
      </c>
      <c r="D62" s="16">
        <v>14815471</v>
      </c>
      <c r="E62" s="7">
        <v>0.84609999999999996</v>
      </c>
      <c r="F62">
        <v>0</v>
      </c>
      <c r="G62" s="12">
        <v>7</v>
      </c>
    </row>
    <row r="63" spans="1:7">
      <c r="A63" s="11" t="s">
        <v>59</v>
      </c>
      <c r="B63" t="s">
        <v>176</v>
      </c>
      <c r="C63" s="16">
        <v>97723642</v>
      </c>
      <c r="D63" s="16">
        <v>15899530</v>
      </c>
      <c r="E63" s="7">
        <v>0.91610000000000003</v>
      </c>
      <c r="F63">
        <v>0</v>
      </c>
      <c r="G63" s="12">
        <v>16</v>
      </c>
    </row>
    <row r="64" spans="1:7">
      <c r="A64" s="11" t="s">
        <v>59</v>
      </c>
      <c r="B64" t="s">
        <v>177</v>
      </c>
      <c r="C64" s="16">
        <v>92488447</v>
      </c>
      <c r="D64" s="16">
        <v>16983589</v>
      </c>
      <c r="E64" s="7">
        <v>0.98609999999999998</v>
      </c>
      <c r="F64">
        <v>0</v>
      </c>
      <c r="G64" s="12">
        <v>24</v>
      </c>
    </row>
    <row r="65" spans="1:7">
      <c r="A65" s="11" t="s">
        <v>59</v>
      </c>
      <c r="B65" t="s">
        <v>178</v>
      </c>
      <c r="C65" s="16">
        <v>87253252</v>
      </c>
      <c r="D65" s="16">
        <v>18067648</v>
      </c>
      <c r="E65" s="7">
        <v>1.0461</v>
      </c>
      <c r="F65">
        <v>1</v>
      </c>
      <c r="G65" s="12">
        <v>31</v>
      </c>
    </row>
    <row r="66" spans="1:7">
      <c r="A66" s="11" t="s">
        <v>61</v>
      </c>
      <c r="B66" t="s">
        <v>175</v>
      </c>
      <c r="C66" s="16">
        <v>27931996</v>
      </c>
      <c r="D66" s="16">
        <v>3262366</v>
      </c>
      <c r="E66" s="7">
        <v>0.62080000000000002</v>
      </c>
      <c r="F66">
        <v>0</v>
      </c>
      <c r="G66" s="12">
        <v>0</v>
      </c>
    </row>
    <row r="67" spans="1:7">
      <c r="A67" s="11" t="s">
        <v>61</v>
      </c>
      <c r="B67" t="s">
        <v>176</v>
      </c>
      <c r="C67" s="16">
        <v>27156107</v>
      </c>
      <c r="D67" s="16">
        <v>3407360</v>
      </c>
      <c r="E67" s="7">
        <v>0.66080000000000005</v>
      </c>
      <c r="F67">
        <v>0</v>
      </c>
      <c r="G67" s="12">
        <v>0</v>
      </c>
    </row>
    <row r="68" spans="1:7">
      <c r="A68" s="11" t="s">
        <v>61</v>
      </c>
      <c r="B68" t="s">
        <v>177</v>
      </c>
      <c r="C68" s="16">
        <v>26380218</v>
      </c>
      <c r="D68" s="16">
        <v>3516105</v>
      </c>
      <c r="E68" s="7">
        <v>0.69079999999999997</v>
      </c>
      <c r="F68">
        <v>0</v>
      </c>
      <c r="G68" s="12">
        <v>0</v>
      </c>
    </row>
    <row r="69" spans="1:7">
      <c r="A69" s="11" t="s">
        <v>61</v>
      </c>
      <c r="B69" t="s">
        <v>178</v>
      </c>
      <c r="C69" s="16">
        <v>25862959</v>
      </c>
      <c r="D69" s="16">
        <v>3624851</v>
      </c>
      <c r="E69" s="7">
        <v>0.7208</v>
      </c>
      <c r="F69">
        <v>0</v>
      </c>
      <c r="G69" s="12">
        <v>0</v>
      </c>
    </row>
    <row r="70" spans="1:7">
      <c r="A70" s="11" t="s">
        <v>64</v>
      </c>
      <c r="B70" t="s">
        <v>175</v>
      </c>
      <c r="C70" s="16">
        <v>14062387</v>
      </c>
      <c r="D70" s="16">
        <v>6886497</v>
      </c>
      <c r="E70" s="7">
        <v>0.7752</v>
      </c>
      <c r="F70">
        <v>0</v>
      </c>
      <c r="G70" s="12">
        <v>0</v>
      </c>
    </row>
    <row r="71" spans="1:7">
      <c r="A71" s="11" t="s">
        <v>64</v>
      </c>
      <c r="B71" t="s">
        <v>176</v>
      </c>
      <c r="C71" s="16">
        <v>14205880</v>
      </c>
      <c r="D71" s="16">
        <v>6956058</v>
      </c>
      <c r="E71" s="7">
        <v>0.78520000000000001</v>
      </c>
      <c r="F71">
        <v>0</v>
      </c>
      <c r="G71" s="12">
        <v>0</v>
      </c>
    </row>
    <row r="72" spans="1:7">
      <c r="A72" s="11" t="s">
        <v>64</v>
      </c>
      <c r="B72" t="s">
        <v>177</v>
      </c>
      <c r="C72" s="16">
        <v>14349374</v>
      </c>
      <c r="D72" s="16">
        <v>6956058</v>
      </c>
      <c r="E72" s="7">
        <v>0.78520000000000001</v>
      </c>
      <c r="F72">
        <v>0</v>
      </c>
      <c r="G72" s="12">
        <v>0</v>
      </c>
    </row>
    <row r="73" spans="1:7">
      <c r="A73" s="11" t="s">
        <v>64</v>
      </c>
      <c r="B73" t="s">
        <v>178</v>
      </c>
      <c r="C73" s="16">
        <v>14349374</v>
      </c>
      <c r="D73" s="16">
        <v>6956058</v>
      </c>
      <c r="E73" s="7">
        <v>0.78520000000000001</v>
      </c>
      <c r="F73">
        <v>0</v>
      </c>
      <c r="G73" s="12">
        <v>0</v>
      </c>
    </row>
    <row r="74" spans="1:7">
      <c r="A74" s="11" t="s">
        <v>67</v>
      </c>
      <c r="B74" t="s">
        <v>175</v>
      </c>
      <c r="C74" s="16">
        <v>77602159</v>
      </c>
      <c r="D74" s="16">
        <v>12228054</v>
      </c>
      <c r="E74" s="7">
        <v>0.58479999999999999</v>
      </c>
      <c r="F74">
        <v>0</v>
      </c>
      <c r="G74" s="12">
        <v>0</v>
      </c>
    </row>
    <row r="75" spans="1:7">
      <c r="A75" s="11" t="s">
        <v>67</v>
      </c>
      <c r="B75" t="s">
        <v>176</v>
      </c>
      <c r="C75" s="16">
        <v>78394018</v>
      </c>
      <c r="D75" s="16">
        <v>12351570</v>
      </c>
      <c r="E75" s="7">
        <v>0.5948</v>
      </c>
      <c r="F75">
        <v>0</v>
      </c>
      <c r="G75" s="12">
        <v>0</v>
      </c>
    </row>
    <row r="76" spans="1:7">
      <c r="A76" s="11" t="s">
        <v>67</v>
      </c>
      <c r="B76" t="s">
        <v>177</v>
      </c>
      <c r="C76" s="16">
        <v>79185877</v>
      </c>
      <c r="D76" s="16">
        <v>12351570</v>
      </c>
      <c r="E76" s="7">
        <v>0.5948</v>
      </c>
      <c r="F76">
        <v>0</v>
      </c>
      <c r="G76" s="12">
        <v>0</v>
      </c>
    </row>
    <row r="77" spans="1:7">
      <c r="A77" s="11" t="s">
        <v>67</v>
      </c>
      <c r="B77" t="s">
        <v>178</v>
      </c>
      <c r="C77" s="16">
        <v>79185877</v>
      </c>
      <c r="D77" s="16">
        <v>12351570</v>
      </c>
      <c r="E77" s="7">
        <v>0.5948</v>
      </c>
      <c r="F77">
        <v>0</v>
      </c>
      <c r="G77" s="12">
        <v>0</v>
      </c>
    </row>
    <row r="78" spans="1:7">
      <c r="A78" s="11" t="s">
        <v>69</v>
      </c>
      <c r="B78" t="s">
        <v>175</v>
      </c>
      <c r="C78" s="16">
        <v>71835730</v>
      </c>
      <c r="D78" s="16">
        <v>31605089</v>
      </c>
      <c r="E78" s="7">
        <v>0.34889999999999999</v>
      </c>
      <c r="F78">
        <v>0</v>
      </c>
      <c r="G78" s="12">
        <v>0</v>
      </c>
    </row>
    <row r="79" spans="1:7">
      <c r="A79" s="11" t="s">
        <v>69</v>
      </c>
      <c r="B79" t="s">
        <v>176</v>
      </c>
      <c r="C79" s="16">
        <v>69840293</v>
      </c>
      <c r="D79" s="16">
        <v>33009760</v>
      </c>
      <c r="E79" s="7">
        <v>0.38890000000000002</v>
      </c>
      <c r="F79">
        <v>0</v>
      </c>
      <c r="G79" s="12">
        <v>0</v>
      </c>
    </row>
    <row r="80" spans="1:7">
      <c r="A80" s="11" t="s">
        <v>69</v>
      </c>
      <c r="B80" t="s">
        <v>177</v>
      </c>
      <c r="C80" s="16">
        <v>67844856</v>
      </c>
      <c r="D80" s="16">
        <v>34063263</v>
      </c>
      <c r="E80" s="7">
        <v>0.41889999999999999</v>
      </c>
      <c r="F80">
        <v>0</v>
      </c>
      <c r="G80" s="12">
        <v>0</v>
      </c>
    </row>
    <row r="81" spans="1:7">
      <c r="A81" s="11" t="s">
        <v>69</v>
      </c>
      <c r="B81" t="s">
        <v>178</v>
      </c>
      <c r="C81" s="16">
        <v>66514565</v>
      </c>
      <c r="D81" s="16">
        <v>35116766</v>
      </c>
      <c r="E81" s="7">
        <v>0.44890000000000002</v>
      </c>
      <c r="F81">
        <v>0</v>
      </c>
      <c r="G81" s="12">
        <v>0</v>
      </c>
    </row>
    <row r="82" spans="1:7">
      <c r="A82" s="11" t="s">
        <v>71</v>
      </c>
      <c r="B82" t="s">
        <v>175</v>
      </c>
      <c r="C82" s="16">
        <v>60050397</v>
      </c>
      <c r="D82" s="16">
        <v>6007317</v>
      </c>
      <c r="E82" s="7">
        <v>0.2283</v>
      </c>
      <c r="F82">
        <v>0</v>
      </c>
      <c r="G82" s="12">
        <v>25</v>
      </c>
    </row>
    <row r="83" spans="1:7">
      <c r="A83" s="11" t="s">
        <v>71</v>
      </c>
      <c r="B83" t="s">
        <v>176</v>
      </c>
      <c r="C83" s="16">
        <v>58382330</v>
      </c>
      <c r="D83" s="16">
        <v>6274309</v>
      </c>
      <c r="E83" s="7">
        <v>0.26829999999999998</v>
      </c>
      <c r="F83">
        <v>0</v>
      </c>
      <c r="G83" s="12">
        <v>29</v>
      </c>
    </row>
    <row r="84" spans="1:7">
      <c r="A84" s="11" t="s">
        <v>71</v>
      </c>
      <c r="B84" t="s">
        <v>177</v>
      </c>
      <c r="C84" s="16">
        <v>56714263</v>
      </c>
      <c r="D84" s="16">
        <v>6474553</v>
      </c>
      <c r="E84" s="7">
        <v>0.29830000000000001</v>
      </c>
      <c r="F84">
        <v>1</v>
      </c>
      <c r="G84" s="12">
        <v>33</v>
      </c>
    </row>
    <row r="85" spans="1:7">
      <c r="A85" s="11" t="s">
        <v>71</v>
      </c>
      <c r="B85" t="s">
        <v>178</v>
      </c>
      <c r="C85" s="16">
        <v>55602219</v>
      </c>
      <c r="D85" s="16">
        <v>6674797</v>
      </c>
      <c r="E85" s="7">
        <v>0.32829999999999998</v>
      </c>
      <c r="F85">
        <v>1</v>
      </c>
      <c r="G85" s="12">
        <v>37</v>
      </c>
    </row>
    <row r="86" spans="1:7">
      <c r="A86" s="11" t="s">
        <v>73</v>
      </c>
      <c r="B86" t="s">
        <v>175</v>
      </c>
      <c r="C86" s="16">
        <v>57117418</v>
      </c>
      <c r="D86" s="16">
        <v>20651438</v>
      </c>
      <c r="E86" s="7">
        <v>0.37169999999999997</v>
      </c>
      <c r="F86">
        <v>0</v>
      </c>
      <c r="G86" s="12">
        <v>0</v>
      </c>
    </row>
    <row r="87" spans="1:7">
      <c r="A87" s="11" t="s">
        <v>73</v>
      </c>
      <c r="B87" t="s">
        <v>176</v>
      </c>
      <c r="C87" s="16">
        <v>57700249</v>
      </c>
      <c r="D87" s="16">
        <v>20860038</v>
      </c>
      <c r="E87" s="7">
        <v>0.38169999999999998</v>
      </c>
      <c r="F87">
        <v>0</v>
      </c>
      <c r="G87" s="12">
        <v>0</v>
      </c>
    </row>
    <row r="88" spans="1:7">
      <c r="A88" s="11" t="s">
        <v>73</v>
      </c>
      <c r="B88" t="s">
        <v>177</v>
      </c>
      <c r="C88" s="16">
        <v>58283080</v>
      </c>
      <c r="D88" s="16">
        <v>20860038</v>
      </c>
      <c r="E88" s="7">
        <v>0.38169999999999998</v>
      </c>
      <c r="F88">
        <v>0</v>
      </c>
      <c r="G88" s="12">
        <v>0</v>
      </c>
    </row>
    <row r="89" spans="1:7">
      <c r="A89" s="11" t="s">
        <v>73</v>
      </c>
      <c r="B89" t="s">
        <v>178</v>
      </c>
      <c r="C89" s="16">
        <v>58283080</v>
      </c>
      <c r="D89" s="16">
        <v>20860038</v>
      </c>
      <c r="E89" s="7">
        <v>0.38169999999999998</v>
      </c>
      <c r="F89">
        <v>0</v>
      </c>
      <c r="G89" s="12">
        <v>0</v>
      </c>
    </row>
    <row r="90" spans="1:7">
      <c r="A90" s="11" t="s">
        <v>75</v>
      </c>
      <c r="B90" t="s">
        <v>175</v>
      </c>
      <c r="C90" s="16">
        <v>73519059</v>
      </c>
      <c r="D90" s="16">
        <v>41852607</v>
      </c>
      <c r="E90" s="7">
        <v>0.27379999999999999</v>
      </c>
      <c r="F90">
        <v>0</v>
      </c>
      <c r="G90" s="12">
        <v>0</v>
      </c>
    </row>
    <row r="91" spans="1:7">
      <c r="A91" s="11" t="s">
        <v>75</v>
      </c>
      <c r="B91" t="s">
        <v>176</v>
      </c>
      <c r="C91" s="16">
        <v>71476863</v>
      </c>
      <c r="D91" s="16">
        <v>43712723</v>
      </c>
      <c r="E91" s="7">
        <v>0.31380000000000002</v>
      </c>
      <c r="F91">
        <v>0</v>
      </c>
      <c r="G91" s="12">
        <v>0</v>
      </c>
    </row>
    <row r="92" spans="1:7">
      <c r="A92" s="11" t="s">
        <v>75</v>
      </c>
      <c r="B92" t="s">
        <v>177</v>
      </c>
      <c r="C92" s="16">
        <v>69434667</v>
      </c>
      <c r="D92" s="16">
        <v>45107810</v>
      </c>
      <c r="E92" s="7">
        <v>0.34379999999999999</v>
      </c>
      <c r="F92">
        <v>0</v>
      </c>
      <c r="G92" s="12">
        <v>0</v>
      </c>
    </row>
    <row r="93" spans="1:7">
      <c r="A93" s="11" t="s">
        <v>75</v>
      </c>
      <c r="B93" t="s">
        <v>178</v>
      </c>
      <c r="C93" s="16">
        <v>68073203</v>
      </c>
      <c r="D93" s="16">
        <v>46502897</v>
      </c>
      <c r="E93" s="7">
        <v>0.37380000000000002</v>
      </c>
      <c r="F93">
        <v>0</v>
      </c>
      <c r="G93" s="12">
        <v>0</v>
      </c>
    </row>
    <row r="94" spans="1:7">
      <c r="A94" s="11" t="s">
        <v>77</v>
      </c>
      <c r="B94" t="s">
        <v>175</v>
      </c>
      <c r="C94" s="16">
        <v>37029268</v>
      </c>
      <c r="D94" s="16">
        <v>39827282</v>
      </c>
      <c r="E94" s="7">
        <v>0.27589999999999998</v>
      </c>
      <c r="F94">
        <v>2</v>
      </c>
      <c r="G94" s="12">
        <v>0</v>
      </c>
    </row>
    <row r="95" spans="1:7">
      <c r="A95" s="11" t="s">
        <v>77</v>
      </c>
      <c r="B95" t="s">
        <v>176</v>
      </c>
      <c r="C95" s="16">
        <v>36000677</v>
      </c>
      <c r="D95" s="16">
        <v>41597384</v>
      </c>
      <c r="E95" s="7">
        <v>0.31590000000000001</v>
      </c>
      <c r="F95">
        <v>2</v>
      </c>
      <c r="G95" s="12">
        <v>0</v>
      </c>
    </row>
    <row r="96" spans="1:7">
      <c r="A96" s="11" t="s">
        <v>77</v>
      </c>
      <c r="B96" t="s">
        <v>177</v>
      </c>
      <c r="C96" s="16">
        <v>34972086</v>
      </c>
      <c r="D96" s="16">
        <v>42924960</v>
      </c>
      <c r="E96" s="7">
        <v>0.34589999999999999</v>
      </c>
      <c r="F96">
        <v>3</v>
      </c>
      <c r="G96" s="12">
        <v>4</v>
      </c>
    </row>
    <row r="97" spans="1:7">
      <c r="A97" s="11" t="s">
        <v>77</v>
      </c>
      <c r="B97" t="s">
        <v>178</v>
      </c>
      <c r="C97" s="16">
        <v>34286359</v>
      </c>
      <c r="D97" s="16">
        <v>44252536</v>
      </c>
      <c r="E97" s="7">
        <v>0.37590000000000001</v>
      </c>
      <c r="F97">
        <v>3</v>
      </c>
      <c r="G97" s="12">
        <v>8</v>
      </c>
    </row>
    <row r="98" spans="1:7">
      <c r="A98" s="11" t="s">
        <v>79</v>
      </c>
      <c r="B98" t="s">
        <v>175</v>
      </c>
      <c r="C98" s="16">
        <v>34345160</v>
      </c>
      <c r="D98" s="16">
        <v>36961729</v>
      </c>
      <c r="E98" s="7">
        <v>0.27179999999999999</v>
      </c>
      <c r="F98">
        <v>0</v>
      </c>
      <c r="G98" s="12">
        <v>0</v>
      </c>
    </row>
    <row r="99" spans="1:7">
      <c r="A99" s="11" t="s">
        <v>79</v>
      </c>
      <c r="B99" t="s">
        <v>176</v>
      </c>
      <c r="C99" s="16">
        <v>34695621</v>
      </c>
      <c r="D99" s="16">
        <v>37335080</v>
      </c>
      <c r="E99" s="7">
        <v>0.28179999999999999</v>
      </c>
      <c r="F99">
        <v>0</v>
      </c>
      <c r="G99" s="12">
        <v>0</v>
      </c>
    </row>
    <row r="100" spans="1:7">
      <c r="A100" s="11" t="s">
        <v>79</v>
      </c>
      <c r="B100" t="s">
        <v>177</v>
      </c>
      <c r="C100" s="16">
        <v>35046082</v>
      </c>
      <c r="D100" s="16">
        <v>37335080</v>
      </c>
      <c r="E100" s="7">
        <v>0.28179999999999999</v>
      </c>
      <c r="F100">
        <v>0</v>
      </c>
      <c r="G100" s="12">
        <v>0</v>
      </c>
    </row>
    <row r="101" spans="1:7">
      <c r="A101" s="11" t="s">
        <v>79</v>
      </c>
      <c r="B101" t="s">
        <v>178</v>
      </c>
      <c r="C101" s="16">
        <v>35046082</v>
      </c>
      <c r="D101" s="16">
        <v>37335080</v>
      </c>
      <c r="E101" s="7">
        <v>0.28179999999999999</v>
      </c>
      <c r="F101">
        <v>0</v>
      </c>
      <c r="G101" s="12">
        <v>0</v>
      </c>
    </row>
    <row r="102" spans="1:7">
      <c r="A102" s="11" t="s">
        <v>81</v>
      </c>
      <c r="B102" t="s">
        <v>175</v>
      </c>
      <c r="C102" s="16">
        <v>39725002</v>
      </c>
      <c r="D102" s="16">
        <v>19355148</v>
      </c>
      <c r="E102" s="7">
        <v>0.25469999999999998</v>
      </c>
      <c r="F102">
        <v>0</v>
      </c>
      <c r="G102" s="12">
        <v>20</v>
      </c>
    </row>
    <row r="103" spans="1:7">
      <c r="A103" s="11" t="s">
        <v>81</v>
      </c>
      <c r="B103" t="s">
        <v>176</v>
      </c>
      <c r="C103" s="16">
        <v>38621529</v>
      </c>
      <c r="D103" s="16">
        <v>20215377</v>
      </c>
      <c r="E103" s="7">
        <v>0.29470000000000002</v>
      </c>
      <c r="F103">
        <v>0</v>
      </c>
      <c r="G103" s="12">
        <v>24</v>
      </c>
    </row>
    <row r="104" spans="1:7">
      <c r="A104" s="11" t="s">
        <v>81</v>
      </c>
      <c r="B104" t="s">
        <v>177</v>
      </c>
      <c r="C104" s="16">
        <v>37518057</v>
      </c>
      <c r="D104" s="16">
        <v>20860548</v>
      </c>
      <c r="E104" s="7">
        <v>0.32469999999999999</v>
      </c>
      <c r="F104">
        <v>1</v>
      </c>
      <c r="G104" s="12">
        <v>28</v>
      </c>
    </row>
    <row r="105" spans="1:7">
      <c r="A105" s="11" t="s">
        <v>81</v>
      </c>
      <c r="B105" t="s">
        <v>178</v>
      </c>
      <c r="C105" s="16">
        <v>36782409</v>
      </c>
      <c r="D105" s="16">
        <v>21505720</v>
      </c>
      <c r="E105" s="7">
        <v>0.35470000000000002</v>
      </c>
      <c r="F105">
        <v>1</v>
      </c>
      <c r="G105" s="12">
        <v>32</v>
      </c>
    </row>
    <row r="106" spans="1:7">
      <c r="A106" s="11" t="s">
        <v>83</v>
      </c>
      <c r="B106" t="s">
        <v>175</v>
      </c>
      <c r="C106" s="16">
        <v>75036138</v>
      </c>
      <c r="D106" s="16">
        <v>50527888</v>
      </c>
      <c r="E106" s="7">
        <v>0.58009999999999995</v>
      </c>
      <c r="F106">
        <v>0</v>
      </c>
      <c r="G106" s="12">
        <v>0</v>
      </c>
    </row>
    <row r="107" spans="1:7">
      <c r="A107" s="11" t="s">
        <v>83</v>
      </c>
      <c r="B107" t="s">
        <v>176</v>
      </c>
      <c r="C107" s="16">
        <v>72951801</v>
      </c>
      <c r="D107" s="16">
        <v>52773572</v>
      </c>
      <c r="E107" s="7">
        <v>0.62009999999999998</v>
      </c>
      <c r="F107">
        <v>0</v>
      </c>
      <c r="G107" s="12">
        <v>3</v>
      </c>
    </row>
    <row r="108" spans="1:7">
      <c r="A108" s="11" t="s">
        <v>83</v>
      </c>
      <c r="B108" t="s">
        <v>177</v>
      </c>
      <c r="C108" s="16">
        <v>70867464</v>
      </c>
      <c r="D108" s="16">
        <v>54457835</v>
      </c>
      <c r="E108" s="7">
        <v>0.65010000000000001</v>
      </c>
      <c r="F108">
        <v>1</v>
      </c>
      <c r="G108" s="12">
        <v>7</v>
      </c>
    </row>
    <row r="109" spans="1:7">
      <c r="A109" s="11" t="s">
        <v>83</v>
      </c>
      <c r="B109" t="s">
        <v>178</v>
      </c>
      <c r="C109" s="16">
        <v>69477906</v>
      </c>
      <c r="D109" s="16">
        <v>56142098</v>
      </c>
      <c r="E109" s="7">
        <v>0.68010000000000004</v>
      </c>
      <c r="F109">
        <v>1</v>
      </c>
      <c r="G109" s="12">
        <v>11</v>
      </c>
    </row>
    <row r="110" spans="1:7">
      <c r="A110" s="11" t="s">
        <v>85</v>
      </c>
      <c r="B110" t="s">
        <v>175</v>
      </c>
      <c r="C110" s="16">
        <v>42000000</v>
      </c>
      <c r="D110" s="16">
        <v>38000000</v>
      </c>
      <c r="E110" s="7">
        <v>0.78</v>
      </c>
      <c r="F110">
        <v>0</v>
      </c>
      <c r="G110" s="12">
        <v>0</v>
      </c>
    </row>
    <row r="111" spans="1:7">
      <c r="A111" s="11" t="s">
        <v>85</v>
      </c>
      <c r="B111" t="s">
        <v>176</v>
      </c>
      <c r="C111" s="16">
        <v>39500000</v>
      </c>
      <c r="D111" s="16">
        <v>40500000</v>
      </c>
      <c r="E111" s="7">
        <v>0.88</v>
      </c>
      <c r="F111">
        <v>1</v>
      </c>
      <c r="G111" s="12">
        <v>12</v>
      </c>
    </row>
    <row r="112" spans="1:7">
      <c r="A112" s="11" t="s">
        <v>85</v>
      </c>
      <c r="B112" t="s">
        <v>177</v>
      </c>
      <c r="C112" s="16">
        <v>36500000</v>
      </c>
      <c r="D112" s="16">
        <v>43500000</v>
      </c>
      <c r="E112" s="7">
        <v>0.96</v>
      </c>
      <c r="F112">
        <v>1</v>
      </c>
      <c r="G112" s="12">
        <v>20</v>
      </c>
    </row>
    <row r="113" spans="1:7">
      <c r="A113" s="11" t="s">
        <v>85</v>
      </c>
      <c r="B113" t="s">
        <v>178</v>
      </c>
      <c r="C113" s="16">
        <v>34084516</v>
      </c>
      <c r="D113" s="16">
        <v>46236108</v>
      </c>
      <c r="E113" s="7">
        <v>1.0370999999999999</v>
      </c>
      <c r="F113">
        <v>2</v>
      </c>
      <c r="G113" s="12">
        <v>36</v>
      </c>
    </row>
    <row r="114" spans="1:7">
      <c r="A114" s="11" t="s">
        <v>87</v>
      </c>
      <c r="B114" t="s">
        <v>175</v>
      </c>
      <c r="C114" s="16">
        <v>31000000</v>
      </c>
      <c r="D114" s="16">
        <v>8300000</v>
      </c>
      <c r="E114" s="7">
        <v>0.57999999999999996</v>
      </c>
      <c r="F114">
        <v>0</v>
      </c>
      <c r="G114" s="12">
        <v>0</v>
      </c>
    </row>
    <row r="115" spans="1:7">
      <c r="A115" s="11" t="s">
        <v>87</v>
      </c>
      <c r="B115" t="s">
        <v>176</v>
      </c>
      <c r="C115" s="16">
        <v>29200000</v>
      </c>
      <c r="D115" s="16">
        <v>8800000</v>
      </c>
      <c r="E115" s="7">
        <v>0.67</v>
      </c>
      <c r="F115">
        <v>0</v>
      </c>
      <c r="G115" s="12">
        <v>0</v>
      </c>
    </row>
    <row r="116" spans="1:7">
      <c r="A116" s="11" t="s">
        <v>87</v>
      </c>
      <c r="B116" t="s">
        <v>177</v>
      </c>
      <c r="C116" s="16">
        <v>27600000</v>
      </c>
      <c r="D116" s="16">
        <v>9400000</v>
      </c>
      <c r="E116" s="7">
        <v>0.76</v>
      </c>
      <c r="F116">
        <v>0</v>
      </c>
      <c r="G116" s="12">
        <v>0</v>
      </c>
    </row>
    <row r="117" spans="1:7">
      <c r="A117" s="11" t="s">
        <v>87</v>
      </c>
      <c r="B117" t="s">
        <v>178</v>
      </c>
      <c r="C117" s="16">
        <v>26110518</v>
      </c>
      <c r="D117" s="16">
        <v>9945475</v>
      </c>
      <c r="E117" s="7">
        <v>0.84389999999999998</v>
      </c>
      <c r="F117">
        <v>0</v>
      </c>
      <c r="G117" s="12">
        <v>0</v>
      </c>
    </row>
    <row r="118" spans="1:7">
      <c r="A118" s="11" t="s">
        <v>89</v>
      </c>
      <c r="B118" t="s">
        <v>175</v>
      </c>
      <c r="C118" s="16">
        <v>103944233</v>
      </c>
      <c r="D118" s="16">
        <v>36000000</v>
      </c>
      <c r="E118" s="7">
        <v>0.42</v>
      </c>
      <c r="F118">
        <v>0</v>
      </c>
      <c r="G118" s="12">
        <v>0</v>
      </c>
    </row>
    <row r="119" spans="1:7">
      <c r="A119" s="11" t="s">
        <v>89</v>
      </c>
      <c r="B119" t="s">
        <v>176</v>
      </c>
      <c r="C119" s="16">
        <v>105004889</v>
      </c>
      <c r="D119" s="16">
        <v>37000000</v>
      </c>
      <c r="E119" s="7">
        <v>0.55000000000000004</v>
      </c>
      <c r="F119">
        <v>0</v>
      </c>
      <c r="G119" s="12">
        <v>0</v>
      </c>
    </row>
    <row r="120" spans="1:7">
      <c r="A120" s="11" t="s">
        <v>89</v>
      </c>
      <c r="B120" t="s">
        <v>177</v>
      </c>
      <c r="C120" s="16">
        <v>105500000</v>
      </c>
      <c r="D120" s="16">
        <v>38000000</v>
      </c>
      <c r="E120" s="7">
        <v>0.68</v>
      </c>
      <c r="F120">
        <v>1</v>
      </c>
      <c r="G120" s="12">
        <v>8</v>
      </c>
    </row>
    <row r="121" spans="1:7">
      <c r="A121" s="13" t="s">
        <v>89</v>
      </c>
      <c r="B121" s="14" t="s">
        <v>178</v>
      </c>
      <c r="C121" s="17">
        <v>106065544</v>
      </c>
      <c r="D121" s="17">
        <v>38842654</v>
      </c>
      <c r="E121" s="18">
        <v>0.81</v>
      </c>
      <c r="F121" s="14">
        <v>2</v>
      </c>
      <c r="G121" s="15">
        <v>14</v>
      </c>
    </row>
  </sheetData>
  <conditionalFormatting sqref="E2:E121">
    <cfRule type="cellIs" dxfId="0" priority="1" operator="greaterThanOrEqual">
      <formula>0.85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25"/>
  <cols>
    <col min="1" max="1" width="22" customWidth="1"/>
    <col min="2" max="2" width="58" customWidth="1"/>
    <col min="3" max="3" width="44" customWidth="1"/>
  </cols>
  <sheetData>
    <row r="1" spans="1:3" ht="26.1" customHeight="1">
      <c r="A1" s="19" t="s">
        <v>179</v>
      </c>
      <c r="B1" s="20" t="s">
        <v>180</v>
      </c>
      <c r="C1" s="21" t="s">
        <v>124</v>
      </c>
    </row>
    <row r="2" spans="1:3" ht="45.95" customHeight="1">
      <c r="A2" s="22" t="s">
        <v>181</v>
      </c>
      <c r="B2" s="2" t="s">
        <v>182</v>
      </c>
      <c r="C2" s="23" t="s">
        <v>183</v>
      </c>
    </row>
    <row r="3" spans="1:3" ht="45.95" customHeight="1">
      <c r="A3" s="22" t="s">
        <v>184</v>
      </c>
      <c r="B3" s="2" t="s">
        <v>185</v>
      </c>
      <c r="C3" s="23" t="s">
        <v>186</v>
      </c>
    </row>
    <row r="4" spans="1:3" ht="45.95" customHeight="1">
      <c r="A4" s="22" t="s">
        <v>187</v>
      </c>
      <c r="B4" s="2" t="s">
        <v>188</v>
      </c>
      <c r="C4" s="23" t="s">
        <v>189</v>
      </c>
    </row>
    <row r="5" spans="1:3" ht="45.95" customHeight="1">
      <c r="A5" s="22" t="s">
        <v>190</v>
      </c>
      <c r="B5" s="2" t="s">
        <v>191</v>
      </c>
      <c r="C5" s="23" t="s">
        <v>192</v>
      </c>
    </row>
    <row r="6" spans="1:3" ht="45.95" customHeight="1">
      <c r="A6" s="22" t="s">
        <v>193</v>
      </c>
      <c r="B6" s="2" t="s">
        <v>194</v>
      </c>
      <c r="C6" s="23" t="s">
        <v>195</v>
      </c>
    </row>
    <row r="7" spans="1:3" ht="45.95" customHeight="1">
      <c r="A7" s="24" t="s">
        <v>196</v>
      </c>
      <c r="B7" s="25" t="s">
        <v>197</v>
      </c>
      <c r="C7" s="2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Musteri_Verisi</vt:lpstr>
      <vt:lpstr>Kurallar</vt:lpstr>
      <vt:lpstr>Proje_Plani</vt:lpstr>
      <vt:lpstr>Analiz_Ekrani</vt:lpstr>
      <vt:lpstr>Donemsel_Veriler</vt:lpstr>
      <vt:lpstr>Erken_Uyari_Kurallari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Ayfer ATASEVER</dc:creator>
  <cp:lastModifiedBy>Ayfer ATASEVER</cp:lastModifiedBy>
  <dcterms:created xsi:type="dcterms:W3CDTF">2026-09-12T15:18:22Z</dcterms:created>
  <dcterms:modified xsi:type="dcterms:W3CDTF">2026-09-12T15:18:22Z</dcterms:modified>
</cp:coreProperties>
</file>